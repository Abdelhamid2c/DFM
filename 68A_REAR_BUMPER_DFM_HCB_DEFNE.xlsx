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I:\03_Engineering\001_RNBU\9-Projects\XCB\HCB\5-XCB TR05 2026 DEFNE\68A_REAR_BUMPER\9-Bilan Validations\5-DFM Checklist\"/>
    </mc:Choice>
  </mc:AlternateContent>
  <xr:revisionPtr revIDLastSave="0" documentId="13_ncr:1_{BB7006B4-749E-405D-B57C-F4963DA548D7}" xr6:coauthVersionLast="47" xr6:coauthVersionMax="47" xr10:uidLastSave="{00000000-0000-0000-0000-000000000000}"/>
  <bookViews>
    <workbookView xWindow="-28920" yWindow="-1125" windowWidth="23280" windowHeight="13920" tabRatio="967" firstSheet="1" activeTab="1" xr2:uid="{00000000-000D-0000-FFFF-FFFF00000000}"/>
  </bookViews>
  <sheets>
    <sheet name="Work Instruction pg.1" sheetId="2" r:id="rId1"/>
    <sheet name="Cover CheckSheet pg.2" sheetId="3" r:id="rId2"/>
    <sheet name="Status Summary pg.3" sheetId="4" r:id="rId3"/>
    <sheet name="CheckSheet 1 Design&amp;Devlp pg.4" sheetId="5" r:id="rId4"/>
    <sheet name="CheckSheet 2 General pg.5" sheetId="6" r:id="rId5"/>
    <sheet name="CheckSheet 3 Layout pg.6" sheetId="7" r:id="rId6"/>
    <sheet name="CheckSheet 4 Coverings&amp;Com pg.7" sheetId="8" r:id="rId7"/>
    <sheet name="CheckSheet 5 Wire pg.8" sheetId="9" r:id="rId8"/>
    <sheet name="CheckSheet 6 Splicing pg.9" sheetId="10" r:id="rId9"/>
    <sheet name="CheckSheet 7 High Voltage pg.10" sheetId="11" r:id="rId10"/>
    <sheet name="CheckSheet 8 Automation pg.11" sheetId="17" r:id="rId11"/>
    <sheet name="Cover CheckSheet Sample pg.12" sheetId="12" r:id="rId12"/>
    <sheet name="CheckSheet Sample pg.13" sheetId="13" r:id="rId13"/>
    <sheet name="CheckSheet Explanation pg.14" sheetId="14" r:id="rId14"/>
    <sheet name="Revision History" sheetId="16" r:id="rId15"/>
  </sheets>
  <externalReferences>
    <externalReference r:id="rId16"/>
    <externalReference r:id="rId17"/>
  </externalReferences>
  <definedNames>
    <definedName name="A1." localSheetId="3">'[1]99_5NAAO'!#REF!</definedName>
    <definedName name="A1." localSheetId="4">'[1]99_5NAAO'!#REF!</definedName>
    <definedName name="A1." localSheetId="5">'[1]99_5NAAO'!#REF!</definedName>
    <definedName name="A1." localSheetId="6">'[1]99_5NAAO'!#REF!</definedName>
    <definedName name="A1." localSheetId="7">'[1]99_5NAAO'!#REF!</definedName>
    <definedName name="A1." localSheetId="8">'[1]99_5NAAO'!#REF!</definedName>
    <definedName name="A1." localSheetId="9">'[1]99_5NAAO'!#REF!</definedName>
    <definedName name="A1." localSheetId="10">'[1]99_5NAAO'!#REF!</definedName>
    <definedName name="A1." localSheetId="13">'[1]99_5NAAO'!#REF!</definedName>
    <definedName name="A1." localSheetId="1">'[1]99_5NAAO'!#REF!</definedName>
    <definedName name="A1." localSheetId="11">'[1]99_5NAAO'!#REF!</definedName>
    <definedName name="A1." localSheetId="14">'[1]99_5NAAO'!#REF!</definedName>
    <definedName name="A1." localSheetId="0">'[1]99_5NAAO'!#REF!</definedName>
    <definedName name="A1.">'[1]99_5NAAO'!#REF!</definedName>
    <definedName name="PLAN_DATE" localSheetId="1">#REF!</definedName>
    <definedName name="PLAN_DATE" localSheetId="11">#REF!</definedName>
    <definedName name="PLAN_DATE" localSheetId="14">#REF!</definedName>
    <definedName name="PLAN_DATE" localSheetId="2">#REF!</definedName>
    <definedName name="PLAN_DATE">#REF!</definedName>
    <definedName name="_xlnm.Print_Area" localSheetId="3">'CheckSheet 1 Design&amp;Devlp pg.4'!$B$2:$L$29</definedName>
    <definedName name="_xlnm.Print_Area" localSheetId="4">'CheckSheet 2 General pg.5'!$B$2:$L$30</definedName>
    <definedName name="_xlnm.Print_Area" localSheetId="5">'CheckSheet 3 Layout pg.6'!$B$2:$L$28</definedName>
    <definedName name="_xlnm.Print_Area" localSheetId="6">'CheckSheet 4 Coverings&amp;Com pg.7'!$B$2:$L$25</definedName>
    <definedName name="_xlnm.Print_Area" localSheetId="7">'CheckSheet 5 Wire pg.8'!$B$2:$L$26</definedName>
    <definedName name="_xlnm.Print_Area" localSheetId="8">'CheckSheet 6 Splicing pg.9'!$B$2:$L$27</definedName>
    <definedName name="_xlnm.Print_Area" localSheetId="9">'CheckSheet 7 High Voltage pg.10'!$B$2:$L$21</definedName>
    <definedName name="_xlnm.Print_Area" localSheetId="10">'CheckSheet 8 Automation pg.11'!$B$2:$L$21</definedName>
    <definedName name="_xlnm.Print_Area" localSheetId="13">'CheckSheet Explanation pg.14'!$B$2:$K$31</definedName>
    <definedName name="_xlnm.Print_Area" localSheetId="12">'CheckSheet Sample pg.13'!$B$2:$L$29</definedName>
    <definedName name="_xlnm.Print_Area" localSheetId="1">'Cover CheckSheet pg.2'!$B$2:$K$37</definedName>
    <definedName name="_xlnm.Print_Area" localSheetId="11">'Cover CheckSheet Sample pg.12'!$B$2:$K$36</definedName>
    <definedName name="_xlnm.Print_Area" localSheetId="14">'Revision History'!$B$2:$J$5</definedName>
    <definedName name="_xlnm.Print_Area" localSheetId="0">'Work Instruction pg.1'!$B$2:$K$58</definedName>
    <definedName name="REPORT_DATE" localSheetId="1">#REF!</definedName>
    <definedName name="REPORT_DATE" localSheetId="11">#REF!</definedName>
    <definedName name="REPORT_DATE" localSheetId="14">#REF!</definedName>
    <definedName name="REPORT_DATE" localSheetId="2">#REF!</definedName>
    <definedName name="REPORT_DATE">#REF!</definedName>
    <definedName name="Status1" localSheetId="2">[2]Data!$A$1:$C$1</definedName>
    <definedName name="Status1">[2]Data!$A$1:$C$1</definedName>
    <definedName name="Status2" localSheetId="2">[2]Data!$A$2:$C$2</definedName>
    <definedName name="Status2">[2]Data!$A$2:$C$2</definedName>
    <definedName name="tableX">'Status Summary pg.3'!$C$4:$I$8</definedName>
    <definedName name="tableXX">'Status Summary pg.3'!$C$4:$I$8</definedName>
    <definedName name="TABLEZ">'Status Summary pg.3'!$C$5:$I$8</definedName>
    <definedName name="VALIDATION_REPORT_DATE" localSheetId="1">#REF!</definedName>
    <definedName name="VALIDATION_REPORT_DATE" localSheetId="11">#REF!</definedName>
    <definedName name="VALIDATION_REPORT_DATE" localSheetId="14">#REF!</definedName>
    <definedName name="VALIDATION_REPORT_DATE" localSheetId="2">#REF!</definedName>
    <definedName name="VALIDATION_REPORT_DATE">#REF!</definedName>
    <definedName name="ynca" localSheetId="11">#REF!</definedName>
    <definedName name="ynca" localSheetId="14">#REF!</definedName>
    <definedName name="yn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11" l="1"/>
  <c r="K3" i="3"/>
  <c r="K5" i="14"/>
  <c r="K3" i="14"/>
  <c r="L5" i="13"/>
  <c r="L3" i="13"/>
  <c r="K5" i="12"/>
  <c r="K3" i="12"/>
  <c r="L9" i="17"/>
  <c r="I9" i="17"/>
  <c r="D9" i="17"/>
  <c r="L8" i="17"/>
  <c r="I8" i="17"/>
  <c r="D8" i="17"/>
  <c r="L5" i="17"/>
  <c r="L3" i="17"/>
  <c r="L9" i="11"/>
  <c r="I9" i="11"/>
  <c r="D9" i="11"/>
  <c r="L8" i="11"/>
  <c r="D8" i="11"/>
  <c r="L5" i="11"/>
  <c r="L3" i="11"/>
  <c r="L9" i="10"/>
  <c r="I9" i="10"/>
  <c r="D9" i="10"/>
  <c r="L8" i="10"/>
  <c r="I8" i="10"/>
  <c r="D8" i="10"/>
  <c r="L5" i="10"/>
  <c r="L3" i="10"/>
  <c r="L9" i="9"/>
  <c r="I9" i="9"/>
  <c r="D9" i="9"/>
  <c r="L8" i="9"/>
  <c r="I8" i="9"/>
  <c r="D8" i="9"/>
  <c r="L5" i="9"/>
  <c r="L3" i="9"/>
  <c r="L9" i="8"/>
  <c r="I9" i="8"/>
  <c r="D9" i="8"/>
  <c r="L8" i="8"/>
  <c r="I8" i="8"/>
  <c r="D8" i="8"/>
  <c r="L5" i="8"/>
  <c r="L3" i="8"/>
  <c r="L9" i="7"/>
  <c r="I9" i="7"/>
  <c r="D9" i="7"/>
  <c r="L8" i="7"/>
  <c r="I8" i="7"/>
  <c r="D8" i="7"/>
  <c r="L5" i="7"/>
  <c r="L3" i="7"/>
  <c r="L9" i="6"/>
  <c r="I9" i="6"/>
  <c r="D9" i="6"/>
  <c r="L8" i="6"/>
  <c r="I8" i="6"/>
  <c r="D8" i="6"/>
  <c r="L5" i="6"/>
  <c r="L3" i="6"/>
  <c r="L9" i="5"/>
  <c r="I9" i="5"/>
  <c r="D9" i="5"/>
  <c r="L8" i="5"/>
  <c r="I8" i="5"/>
  <c r="D8" i="5"/>
  <c r="L5" i="5"/>
  <c r="L3" i="5"/>
  <c r="J61" i="4"/>
  <c r="I61" i="4"/>
  <c r="H61" i="4"/>
  <c r="G61" i="4"/>
  <c r="E61" i="4"/>
  <c r="J60" i="4"/>
  <c r="I60" i="4"/>
  <c r="H60" i="4"/>
  <c r="G60" i="4"/>
  <c r="F60" i="4"/>
  <c r="E60" i="4"/>
  <c r="D60" i="4"/>
  <c r="J59" i="4"/>
  <c r="I59" i="4"/>
  <c r="H59" i="4"/>
  <c r="G59" i="4"/>
  <c r="F59" i="4"/>
  <c r="E59" i="4"/>
  <c r="D59" i="4"/>
  <c r="J58" i="4"/>
  <c r="I58" i="4"/>
  <c r="H58" i="4"/>
  <c r="G58" i="4"/>
  <c r="F58" i="4"/>
  <c r="E58" i="4"/>
  <c r="D58" i="4"/>
  <c r="J53" i="4"/>
  <c r="H53" i="4"/>
  <c r="G53" i="4"/>
  <c r="E53" i="4"/>
  <c r="J52" i="4"/>
  <c r="I52" i="4"/>
  <c r="H52" i="4"/>
  <c r="G52" i="4"/>
  <c r="F52" i="4"/>
  <c r="E52" i="4"/>
  <c r="D52" i="4"/>
  <c r="J51" i="4"/>
  <c r="I51" i="4"/>
  <c r="H51" i="4"/>
  <c r="G51" i="4"/>
  <c r="F51" i="4"/>
  <c r="E51" i="4"/>
  <c r="D51" i="4"/>
  <c r="J50" i="4"/>
  <c r="I50" i="4"/>
  <c r="H50" i="4"/>
  <c r="G50" i="4"/>
  <c r="F50" i="4"/>
  <c r="E50" i="4"/>
  <c r="D50" i="4"/>
  <c r="J49" i="4"/>
  <c r="I49" i="4"/>
  <c r="I53" i="4" s="1"/>
  <c r="H49" i="4"/>
  <c r="G49" i="4"/>
  <c r="F49" i="4"/>
  <c r="E49" i="4"/>
  <c r="D49" i="4"/>
  <c r="J42" i="4"/>
  <c r="I42" i="4"/>
  <c r="H42" i="4"/>
  <c r="G42" i="4"/>
  <c r="F42" i="4"/>
  <c r="E42" i="4"/>
  <c r="D42" i="4"/>
  <c r="J41" i="4"/>
  <c r="I41" i="4"/>
  <c r="H41" i="4"/>
  <c r="G41" i="4"/>
  <c r="F41" i="4"/>
  <c r="E41" i="4"/>
  <c r="D41" i="4"/>
  <c r="J40" i="4"/>
  <c r="I40" i="4"/>
  <c r="H40" i="4"/>
  <c r="G40" i="4"/>
  <c r="F40" i="4"/>
  <c r="E40" i="4"/>
  <c r="D40" i="4"/>
  <c r="J39" i="4"/>
  <c r="J43" i="4" s="1"/>
  <c r="I39" i="4"/>
  <c r="H39" i="4"/>
  <c r="G39" i="4"/>
  <c r="F39" i="4"/>
  <c r="E39" i="4"/>
  <c r="D39" i="4"/>
  <c r="K5" i="3"/>
  <c r="F61" i="4" l="1"/>
  <c r="F53" i="4"/>
  <c r="K60" i="4"/>
  <c r="K59" i="4"/>
  <c r="K58" i="4"/>
  <c r="L60" i="4" s="1"/>
  <c r="I8" i="4" s="1"/>
  <c r="K52" i="4"/>
  <c r="K51" i="4"/>
  <c r="F8" i="4" s="1"/>
  <c r="K50" i="4"/>
  <c r="F7" i="4" s="1"/>
  <c r="I43" i="4"/>
  <c r="G43" i="4"/>
  <c r="E43" i="4"/>
  <c r="H43" i="4"/>
  <c r="F43" i="4"/>
  <c r="D53" i="4"/>
  <c r="K42" i="4"/>
  <c r="K41" i="4"/>
  <c r="D8" i="4" s="1"/>
  <c r="K40" i="4"/>
  <c r="D7" i="4" s="1"/>
  <c r="H8" i="4"/>
  <c r="L59" i="4"/>
  <c r="I7" i="4" s="1"/>
  <c r="H7" i="4"/>
  <c r="L58" i="4"/>
  <c r="I6" i="4" s="1"/>
  <c r="H6" i="4"/>
  <c r="K61" i="4"/>
  <c r="K49" i="4"/>
  <c r="D61" i="4"/>
  <c r="D43" i="4"/>
  <c r="K39" i="4"/>
  <c r="F6" i="4" l="1"/>
  <c r="L49" i="4"/>
  <c r="G6" i="4" s="1"/>
  <c r="K53" i="4"/>
  <c r="L51" i="4"/>
  <c r="G8" i="4" s="1"/>
  <c r="L50" i="4"/>
  <c r="G7" i="4" s="1"/>
  <c r="L39" i="4"/>
  <c r="E6" i="4" s="1"/>
  <c r="K43" i="4"/>
  <c r="D6" i="4"/>
  <c r="L41" i="4"/>
  <c r="E8" i="4" s="1"/>
  <c r="L40" i="4"/>
  <c r="E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Silva, Raquel</author>
  </authors>
  <commentList>
    <comment ref="D43" authorId="0" shapeId="0" xr:uid="{34138F6D-2AD8-453D-AF9B-88273C29EEE1}">
      <text>
        <r>
          <rPr>
            <sz val="9"/>
            <rFont val="Tahoma"/>
            <family val="2"/>
          </rPr>
          <t>The sum of Design &amp; Development status must be 13</t>
        </r>
      </text>
    </comment>
    <comment ref="E43" authorId="0" shapeId="0" xr:uid="{BE224FBD-3547-4614-B8B8-38D1F625DA47}">
      <text>
        <r>
          <rPr>
            <sz val="9"/>
            <rFont val="Tahoma"/>
            <family val="2"/>
          </rPr>
          <t>The sum of General status must be 25</t>
        </r>
      </text>
    </comment>
    <comment ref="F43" authorId="0" shapeId="0" xr:uid="{DA8C1D6F-27F6-4B98-8274-5D668714D2E9}">
      <text>
        <r>
          <rPr>
            <sz val="9"/>
            <rFont val="Tahoma"/>
            <family val="2"/>
          </rPr>
          <t>The sum of Layout status must be 14</t>
        </r>
      </text>
    </comment>
    <comment ref="G43" authorId="0" shapeId="0" xr:uid="{0C6ACB6E-16D5-4F70-80D1-629D708CF80E}">
      <text>
        <r>
          <rPr>
            <sz val="9"/>
            <rFont val="Tahoma"/>
            <family val="2"/>
          </rPr>
          <t>The sum of Coverings &amp; Components status must be 11</t>
        </r>
      </text>
    </comment>
    <comment ref="H43" authorId="0" shapeId="0" xr:uid="{733B02F3-BD60-468A-93BB-23378B03DCCD}">
      <text>
        <r>
          <rPr>
            <sz val="9"/>
            <rFont val="Tahoma"/>
            <family val="2"/>
          </rPr>
          <t>The sum of Wire status must be 13</t>
        </r>
      </text>
    </comment>
    <comment ref="I43" authorId="0" shapeId="0" xr:uid="{7AAFC7AF-551E-4CFE-AEA1-B8645E52DAA8}">
      <text>
        <r>
          <rPr>
            <sz val="9"/>
            <rFont val="Tahoma"/>
            <family val="2"/>
          </rPr>
          <t>The sum of Splicing status must be 23</t>
        </r>
      </text>
    </comment>
    <comment ref="J43" authorId="0" shapeId="0" xr:uid="{DB2CA7F8-BB59-44A1-ACB8-4E6215FCE269}">
      <text>
        <r>
          <rPr>
            <sz val="9"/>
            <rFont val="Tahoma"/>
            <family val="2"/>
          </rPr>
          <t>The sum of High Voltage status must be 6</t>
        </r>
      </text>
    </comment>
    <comment ref="K43" authorId="0" shapeId="0" xr:uid="{C2B75B99-1FCC-4695-8950-D8EDCB41A38D}">
      <text>
        <r>
          <rPr>
            <b/>
            <sz val="9"/>
            <rFont val="Tahoma"/>
            <family val="2"/>
          </rPr>
          <t>The sum of all status must be 105</t>
        </r>
      </text>
    </comment>
    <comment ref="D53" authorId="0" shapeId="0" xr:uid="{F2C1D212-9633-47E3-8D07-D90442DB197E}">
      <text>
        <r>
          <rPr>
            <sz val="9"/>
            <rFont val="Tahoma"/>
            <family val="2"/>
          </rPr>
          <t>The sum of Design &amp; Development status must be 13</t>
        </r>
      </text>
    </comment>
    <comment ref="E53" authorId="0" shapeId="0" xr:uid="{84187D9C-DDBA-40C6-8769-438656E7CB0F}">
      <text>
        <r>
          <rPr>
            <sz val="9"/>
            <rFont val="Tahoma"/>
            <family val="2"/>
          </rPr>
          <t>The sum of General status must be 25</t>
        </r>
      </text>
    </comment>
    <comment ref="F53" authorId="0" shapeId="0" xr:uid="{3AE9B4FF-DE52-44A6-B8B1-006460E47D96}">
      <text>
        <r>
          <rPr>
            <sz val="9"/>
            <rFont val="Tahoma"/>
            <family val="2"/>
          </rPr>
          <t>The sum of Layout status must be 14</t>
        </r>
      </text>
    </comment>
    <comment ref="G53" authorId="0" shapeId="0" xr:uid="{06837C99-C662-444C-8C4E-0CCF3EB264D3}">
      <text>
        <r>
          <rPr>
            <sz val="9"/>
            <rFont val="Tahoma"/>
            <family val="2"/>
          </rPr>
          <t>The sum of Coverings &amp; Components status must be 11</t>
        </r>
      </text>
    </comment>
    <comment ref="H53" authorId="0" shapeId="0" xr:uid="{52731E2B-7952-418C-A725-4EC36A8303DA}">
      <text>
        <r>
          <rPr>
            <sz val="9"/>
            <rFont val="Tahoma"/>
            <family val="2"/>
          </rPr>
          <t xml:space="preserve">The sum of Wire status must be 13
</t>
        </r>
      </text>
    </comment>
    <comment ref="I53" authorId="0" shapeId="0" xr:uid="{46BAC2D0-93AA-49D7-AAC2-2A1FA2135BF4}">
      <text>
        <r>
          <rPr>
            <sz val="9"/>
            <rFont val="Tahoma"/>
            <family val="2"/>
          </rPr>
          <t>The sum of Splicing status must be 23</t>
        </r>
      </text>
    </comment>
    <comment ref="J53" authorId="0" shapeId="0" xr:uid="{5D73AD8F-94DB-4605-A405-7EF67D206125}">
      <text>
        <r>
          <rPr>
            <sz val="9"/>
            <rFont val="Tahoma"/>
            <family val="2"/>
          </rPr>
          <t>The sum of High Voltage status must be 6</t>
        </r>
      </text>
    </comment>
    <comment ref="K53" authorId="0" shapeId="0" xr:uid="{F7D8621D-8C8D-4376-B1B5-54095F09670F}">
      <text>
        <r>
          <rPr>
            <b/>
            <sz val="9"/>
            <rFont val="Tahoma"/>
            <family val="2"/>
          </rPr>
          <t>The sum of all status must be 105</t>
        </r>
      </text>
    </comment>
    <comment ref="D61" authorId="0" shapeId="0" xr:uid="{73871855-28F0-4A44-9303-34894CA7E1A6}">
      <text>
        <r>
          <rPr>
            <sz val="9"/>
            <rFont val="Tahoma"/>
            <family val="2"/>
          </rPr>
          <t>The sum of Design &amp; Development status must be 14</t>
        </r>
      </text>
    </comment>
    <comment ref="E61" authorId="0" shapeId="0" xr:uid="{8C8F54AD-883F-4E20-954D-35D5B63AC631}">
      <text>
        <r>
          <rPr>
            <sz val="9"/>
            <rFont val="Tahoma"/>
            <family val="2"/>
          </rPr>
          <t>The sum of General status must be 25</t>
        </r>
      </text>
    </comment>
    <comment ref="F61" authorId="0" shapeId="0" xr:uid="{36E64098-1181-4665-A494-98C94FEBF289}">
      <text>
        <r>
          <rPr>
            <sz val="9"/>
            <rFont val="Tahoma"/>
            <family val="2"/>
          </rPr>
          <t>The sum of Layout status must be 15</t>
        </r>
      </text>
    </comment>
    <comment ref="G61" authorId="0" shapeId="0" xr:uid="{F3F2B4FC-6AEB-4DA5-9A4E-4027B6EF9FC0}">
      <text>
        <r>
          <rPr>
            <sz val="9"/>
            <rFont val="Tahoma"/>
            <family val="2"/>
          </rPr>
          <t>The sum of Coverings &amp; Components status must be 13</t>
        </r>
      </text>
    </comment>
    <comment ref="H61" authorId="0" shapeId="0" xr:uid="{549B698C-2487-4D0B-AA3C-76AD15D9D95A}">
      <text>
        <r>
          <rPr>
            <sz val="9"/>
            <rFont val="Tahoma"/>
            <family val="2"/>
          </rPr>
          <t>The sum of Wire status must be 15</t>
        </r>
      </text>
    </comment>
    <comment ref="I61" authorId="0" shapeId="0" xr:uid="{A1B858E9-305A-4C1A-B3E2-B796073B7B02}">
      <text>
        <r>
          <rPr>
            <sz val="9"/>
            <rFont val="Tahoma"/>
            <family val="2"/>
          </rPr>
          <t>The sum of Splicing status must be 23</t>
        </r>
      </text>
    </comment>
    <comment ref="J61" authorId="0" shapeId="0" xr:uid="{3908759B-0BB3-4337-AC37-5C9E97D30775}">
      <text>
        <r>
          <rPr>
            <sz val="9"/>
            <rFont val="Tahoma"/>
            <family val="2"/>
          </rPr>
          <t>The sum of High Voltage status must be 6</t>
        </r>
      </text>
    </comment>
    <comment ref="K61" authorId="0" shapeId="0" xr:uid="{5A22FD72-E772-4B01-8921-8A7BD5E9FF2C}">
      <text>
        <r>
          <rPr>
            <b/>
            <sz val="9"/>
            <rFont val="Tahoma"/>
            <family val="2"/>
          </rPr>
          <t>The sum of all status must be 111</t>
        </r>
      </text>
    </comment>
  </commentList>
</comments>
</file>

<file path=xl/sharedStrings.xml><?xml version="1.0" encoding="utf-8"?>
<sst xmlns="http://schemas.openxmlformats.org/spreadsheetml/2006/main" count="979" uniqueCount="446">
  <si>
    <t>Europe Business Management System</t>
  </si>
  <si>
    <t>Revision Date:</t>
  </si>
  <si>
    <t>EA-EN-WH-P-009-F-01</t>
  </si>
  <si>
    <t>DFM Item Check Form</t>
  </si>
  <si>
    <t>Revision Level:</t>
  </si>
  <si>
    <t>Form</t>
  </si>
  <si>
    <t>6.0</t>
  </si>
  <si>
    <r>
      <t>CONFIDENTIAL:</t>
    </r>
    <r>
      <rPr>
        <sz val="9"/>
        <rFont val="Calibri"/>
        <family val="2"/>
        <scheme val="minor"/>
      </rPr>
      <t xml:space="preserve"> This information is Yazaki property and must follow applicable global and regional confidentiality rules. Copies are reference only, see network for latest revision.</t>
    </r>
  </si>
  <si>
    <t xml:space="preserve">Work Instruction </t>
  </si>
  <si>
    <t xml:space="preserve"> </t>
  </si>
  <si>
    <t>DFM Review Sign Off Cover Sheet</t>
  </si>
  <si>
    <t>Program/Carline:</t>
  </si>
  <si>
    <t>Drawing Number/Level:</t>
  </si>
  <si>
    <t>OEM:</t>
  </si>
  <si>
    <t>Harness Family:</t>
  </si>
  <si>
    <t>Manufacturing Plant:</t>
  </si>
  <si>
    <t>Date of Review:</t>
  </si>
  <si>
    <t>Team members:</t>
  </si>
  <si>
    <t>First name, Last name</t>
  </si>
  <si>
    <t>Manufacturing, Quality  
or Design</t>
  </si>
  <si>
    <t>Department</t>
  </si>
  <si>
    <t>Comment</t>
  </si>
  <si>
    <t>1.</t>
  </si>
  <si>
    <t>2.</t>
  </si>
  <si>
    <t>3.</t>
  </si>
  <si>
    <t>4.</t>
  </si>
  <si>
    <t>5.</t>
  </si>
  <si>
    <t>6.</t>
  </si>
  <si>
    <t>7.</t>
  </si>
  <si>
    <t>8.</t>
  </si>
  <si>
    <t>9.</t>
  </si>
  <si>
    <t>10.</t>
  </si>
  <si>
    <t>11.</t>
  </si>
  <si>
    <t>12.</t>
  </si>
  <si>
    <t>13.</t>
  </si>
  <si>
    <t>14.</t>
  </si>
  <si>
    <t>15.</t>
  </si>
  <si>
    <t>Approval Engineering</t>
  </si>
  <si>
    <t>Approval Manufacturing</t>
  </si>
  <si>
    <t>Name:
(printed character)</t>
  </si>
  <si>
    <t>Position:</t>
  </si>
  <si>
    <t>Date:</t>
  </si>
  <si>
    <t>Signature:</t>
  </si>
  <si>
    <t>Global Status of DFM issues</t>
  </si>
  <si>
    <t>10/May/2023</t>
  </si>
  <si>
    <t>Status</t>
  </si>
  <si>
    <t>Design Input</t>
  </si>
  <si>
    <t>Design Input %</t>
  </si>
  <si>
    <t>Manufacturing Input</t>
  </si>
  <si>
    <t>Manufacturing Input %</t>
  </si>
  <si>
    <t>General Status</t>
  </si>
  <si>
    <t>General Status %</t>
  </si>
  <si>
    <t>Yes</t>
  </si>
  <si>
    <t>No</t>
  </si>
  <si>
    <t>Open</t>
  </si>
  <si>
    <t>Calculation</t>
  </si>
  <si>
    <t>1.Design &amp; Development</t>
  </si>
  <si>
    <t>2.General</t>
  </si>
  <si>
    <t>3.Layout</t>
  </si>
  <si>
    <t>4.Coverings &amp; Components</t>
  </si>
  <si>
    <t>5.Wire</t>
  </si>
  <si>
    <t>6.Splicing</t>
  </si>
  <si>
    <t>7.High Voltage</t>
  </si>
  <si>
    <t>Summary</t>
  </si>
  <si>
    <t>N/A</t>
  </si>
  <si>
    <t>Total</t>
  </si>
  <si>
    <t>Green</t>
  </si>
  <si>
    <t>Red</t>
  </si>
  <si>
    <t>Yellow</t>
  </si>
  <si>
    <t>OEM</t>
  </si>
  <si>
    <t xml:space="preserve">DFM review date: </t>
  </si>
  <si>
    <t>Meets
Guideline
Yes - No
Open - N/A</t>
  </si>
  <si>
    <t>S: Status
A: Action</t>
  </si>
  <si>
    <t>Location 
Description</t>
  </si>
  <si>
    <t>Agreed by
MFG
Yes - No
Open - N/A</t>
  </si>
  <si>
    <t>1</t>
  </si>
  <si>
    <t>Design &amp; Development</t>
  </si>
  <si>
    <t>1.01</t>
  </si>
  <si>
    <t>Use J /C when necessary to improve sub-assy in manufacturing</t>
  </si>
  <si>
    <t>1.02</t>
  </si>
  <si>
    <t>Use of ground blocks for bonder terminals</t>
  </si>
  <si>
    <t>1.03</t>
  </si>
  <si>
    <t>Ultrasonic/bonder terminals for multi-crimp wires</t>
  </si>
  <si>
    <t>1.04</t>
  </si>
  <si>
    <t>Avoid big complex W/H 
clarify max. possible wire lengths
(circuit lengths 4 meters maximum)</t>
  </si>
  <si>
    <t>1.05</t>
  </si>
  <si>
    <t>Use protectors with fixing tabs to fasten the wire bundle</t>
  </si>
  <si>
    <t>1.06</t>
  </si>
  <si>
    <t>Use connectors that have considerations for circuit checkers</t>
  </si>
  <si>
    <t>1.07</t>
  </si>
  <si>
    <t>1.08</t>
  </si>
  <si>
    <t>Avoid components that contain difficult assembly process</t>
  </si>
  <si>
    <t>1.09</t>
  </si>
  <si>
    <t>Molded-on grommets vs. applied grommets
(pre-molded)</t>
  </si>
  <si>
    <t>1.10</t>
  </si>
  <si>
    <t>One-Piece Clip Selection</t>
  </si>
  <si>
    <t>1.11</t>
  </si>
  <si>
    <t>1.13</t>
  </si>
  <si>
    <t>Use tape-on clips with raised ends (“wings”)</t>
  </si>
  <si>
    <t>1.14</t>
  </si>
  <si>
    <t>Washer tube selection</t>
  </si>
  <si>
    <t>2</t>
  </si>
  <si>
    <t>General</t>
  </si>
  <si>
    <t>2.01</t>
  </si>
  <si>
    <t>Improper use of band clamps / tie straps</t>
  </si>
  <si>
    <t>2.02</t>
  </si>
  <si>
    <t>Improper fixing of clips through band clamp usage</t>
  </si>
  <si>
    <t>2.03</t>
  </si>
  <si>
    <t>Taping method for clips / retainers</t>
  </si>
  <si>
    <t>2.04</t>
  </si>
  <si>
    <t>Proper clip "tab" directions on strap clips for good workability</t>
  </si>
  <si>
    <t>2.05</t>
  </si>
  <si>
    <t>Strap clip fixing on harnesses and/or over Antenna/Specialty/Battery cables</t>
  </si>
  <si>
    <t>2.06</t>
  </si>
  <si>
    <t xml:space="preserve">Preferred tape width </t>
  </si>
  <si>
    <t>2.07</t>
  </si>
  <si>
    <t xml:space="preserve">Taping on thin branches
</t>
  </si>
  <si>
    <t>2.08</t>
  </si>
  <si>
    <t>2.09</t>
  </si>
  <si>
    <t>Tape Selection</t>
  </si>
  <si>
    <t>2.10</t>
  </si>
  <si>
    <t>Use cross-taping (X, T, or P wrap) on all takeout points</t>
  </si>
  <si>
    <t>2.11</t>
  </si>
  <si>
    <t>Proper ID tag location</t>
  </si>
  <si>
    <t>2.12</t>
  </si>
  <si>
    <t>2.13</t>
  </si>
  <si>
    <t>Proper circuit distribution within a connector</t>
  </si>
  <si>
    <t>2.14</t>
  </si>
  <si>
    <t xml:space="preserve">Use pre-plugged connector </t>
  </si>
  <si>
    <t>2.15</t>
  </si>
  <si>
    <t>Avoid similar terminals on single circuits</t>
  </si>
  <si>
    <t>2.16</t>
  </si>
  <si>
    <t>Same potential, similar wire size / different plating same terminal family</t>
  </si>
  <si>
    <t>2.17</t>
  </si>
  <si>
    <t>2.18</t>
  </si>
  <si>
    <t>Avoid using solder on terminal crimps</t>
  </si>
  <si>
    <t>2.19</t>
  </si>
  <si>
    <t>Avoid dip solder</t>
  </si>
  <si>
    <t>2.20</t>
  </si>
  <si>
    <t>Terminal feeding from LHS</t>
  </si>
  <si>
    <t>2.21</t>
  </si>
  <si>
    <t>Crimp force monitoring: Phantom errors based on small headroom</t>
  </si>
  <si>
    <t>2.22</t>
  </si>
  <si>
    <t>Minimum distance between tube / taping and the back of a connector</t>
  </si>
  <si>
    <t>2.23</t>
  </si>
  <si>
    <t xml:space="preserve">Define a clear measuring point at the connector </t>
  </si>
  <si>
    <t>2.24</t>
  </si>
  <si>
    <t>Appropriate terminal-wire-housing selection</t>
  </si>
  <si>
    <t>2.25</t>
  </si>
  <si>
    <t>Delivering condition of Eyelets</t>
  </si>
  <si>
    <t>Design input</t>
  </si>
  <si>
    <t>Manufacturing input</t>
  </si>
  <si>
    <t>Layout</t>
  </si>
  <si>
    <t>3.01</t>
  </si>
  <si>
    <t>Commonization of splice location (same splice within different part numbers)</t>
  </si>
  <si>
    <t>3.02</t>
  </si>
  <si>
    <t>Branch length commonization between part numbers within the same family</t>
  </si>
  <si>
    <t>3.03</t>
  </si>
  <si>
    <t xml:space="preserve">Use same drawing layout within one harness family </t>
  </si>
  <si>
    <t>3.05</t>
  </si>
  <si>
    <t>Position of main trunk on W/H drawing</t>
  </si>
  <si>
    <t>3.06</t>
  </si>
  <si>
    <t>Maximum number of branches at a single branch point</t>
  </si>
  <si>
    <t>3.07</t>
  </si>
  <si>
    <t>3.08</t>
  </si>
  <si>
    <t>Proper use and location of branch tape-backs for J/C</t>
  </si>
  <si>
    <t>3.09</t>
  </si>
  <si>
    <t xml:space="preserve">Distance of fixing parts to components (≥ 30 mm)
</t>
  </si>
  <si>
    <t>3.10</t>
  </si>
  <si>
    <t>Proper location of clips in relationship to applied coverings</t>
  </si>
  <si>
    <t>3.11</t>
  </si>
  <si>
    <t>3.12</t>
  </si>
  <si>
    <t>3.13</t>
  </si>
  <si>
    <t xml:space="preserve">Minimum clearance between two takeout points 
(≥ 100 mm)
</t>
  </si>
  <si>
    <t>3.14</t>
  </si>
  <si>
    <t>Pin-out of in-line connectors should match the process insertion sequence</t>
  </si>
  <si>
    <t>3.15</t>
  </si>
  <si>
    <t>Ground subassemblies should be in sections &amp; different trace color to guide routing</t>
  </si>
  <si>
    <t>Coverings &amp; Components</t>
  </si>
  <si>
    <t>4.02</t>
  </si>
  <si>
    <t>Integrated connector spacers</t>
  </si>
  <si>
    <t>4.03</t>
  </si>
  <si>
    <t>Tie straps or strap clips need to have sufficient length for tool usage</t>
  </si>
  <si>
    <t>4.04</t>
  </si>
  <si>
    <t>Lever position clearly defined</t>
  </si>
  <si>
    <t>4.05</t>
  </si>
  <si>
    <t>Foam tape on connectors</t>
  </si>
  <si>
    <t>4.06</t>
  </si>
  <si>
    <t>Select a grommet that can expand to necessary size during assy process</t>
  </si>
  <si>
    <t>4.07</t>
  </si>
  <si>
    <t>Same connector usage at same branch point</t>
  </si>
  <si>
    <t>4.08</t>
  </si>
  <si>
    <t>Slit tubing vs. non-slit tubing</t>
  </si>
  <si>
    <t>4.09</t>
  </si>
  <si>
    <t>Commonization of coverings/sleeves</t>
  </si>
  <si>
    <t>4.10</t>
  </si>
  <si>
    <t>Dividing coverings</t>
  </si>
  <si>
    <t>4.11</t>
  </si>
  <si>
    <t>Align covering dimension with W/H bundle diameter</t>
  </si>
  <si>
    <t>4.12</t>
  </si>
  <si>
    <t>Using taping inside troughs / protectors</t>
  </si>
  <si>
    <t>Avoid Connectors that may cause Terminal Push Out (TPO)</t>
  </si>
  <si>
    <t>5</t>
  </si>
  <si>
    <t>Wire</t>
  </si>
  <si>
    <t>5.01</t>
  </si>
  <si>
    <t>5.02</t>
  </si>
  <si>
    <t xml:space="preserve">Minimum length of shielded wires (≥ 180 mm)
</t>
  </si>
  <si>
    <t>5.03</t>
  </si>
  <si>
    <t xml:space="preserve">Minimum length of twisted wire (≥ 180 mm)
</t>
  </si>
  <si>
    <t>5.04</t>
  </si>
  <si>
    <t>Same twist direction for strands and wire</t>
  </si>
  <si>
    <t>5.05</t>
  </si>
  <si>
    <t>Shielded / Twisted wire must include different color wires</t>
  </si>
  <si>
    <t>5.06</t>
  </si>
  <si>
    <t>No Heat shrink process for wire type T1 /  Class A
(85 °C)</t>
  </si>
  <si>
    <t>5.08</t>
  </si>
  <si>
    <t>Minimum wire size for sealed circuits 
(0.30 mm²)</t>
  </si>
  <si>
    <t>5.09</t>
  </si>
  <si>
    <t>5.10</t>
  </si>
  <si>
    <r>
      <t>Double crimp for 0.13 mm</t>
    </r>
    <r>
      <rPr>
        <vertAlign val="superscript"/>
        <sz val="8"/>
        <rFont val="Arial"/>
        <family val="2"/>
      </rPr>
      <t>2</t>
    </r>
    <r>
      <rPr>
        <sz val="8"/>
        <rFont val="Arial"/>
        <family val="2"/>
      </rPr>
      <t xml:space="preserve"> wire</t>
    </r>
  </si>
  <si>
    <t>5.11</t>
  </si>
  <si>
    <r>
      <t>Twisting for 0.13 mm</t>
    </r>
    <r>
      <rPr>
        <vertAlign val="superscript"/>
        <sz val="8"/>
        <rFont val="Arial"/>
        <family val="2"/>
      </rPr>
      <t>2</t>
    </r>
    <r>
      <rPr>
        <sz val="8"/>
        <rFont val="Arial"/>
        <family val="2"/>
      </rPr>
      <t xml:space="preserve"> wire</t>
    </r>
  </si>
  <si>
    <t>5.13</t>
  </si>
  <si>
    <t>Untwist length for Ethernet Cables</t>
  </si>
  <si>
    <t>5.14</t>
  </si>
  <si>
    <t>Adding extra length wire to avoid damage to circuit</t>
  </si>
  <si>
    <t>5.15</t>
  </si>
  <si>
    <t>Use of 9mm tape on twist pairs open ends</t>
  </si>
  <si>
    <t>Splicing</t>
  </si>
  <si>
    <t>6.01</t>
  </si>
  <si>
    <t>Preferred welding process
(only valid for YEL and YNCA)</t>
  </si>
  <si>
    <t>6.02</t>
  </si>
  <si>
    <t>No tinned wires for ultrasonic welding</t>
  </si>
  <si>
    <t>6.03</t>
  </si>
  <si>
    <t xml:space="preserve">Total quantity of wires on a splice
 (valid for ultrasonic welding and resistance welding)  </t>
  </si>
  <si>
    <t>6.04</t>
  </si>
  <si>
    <r>
      <t xml:space="preserve">Maximum total cross section on splices 
</t>
    </r>
    <r>
      <rPr>
        <u/>
        <sz val="8"/>
        <rFont val="Arial"/>
        <family val="2"/>
      </rPr>
      <t>Produced with Ultrasonic Welding Technology</t>
    </r>
  </si>
  <si>
    <t>6.06</t>
  </si>
  <si>
    <t>Large splice cross-sections &gt; 26 mm²: 
Maximum quantity of wires</t>
  </si>
  <si>
    <t>6.07</t>
  </si>
  <si>
    <t>Large splice cross-sections &gt; 26 mm²:
 Unsymmetrically wire arrangement</t>
  </si>
  <si>
    <t>6.08</t>
  </si>
  <si>
    <t>Protection of splices containing 
wires with low cross-section (only valid for YEL)</t>
  </si>
  <si>
    <t>6.09</t>
  </si>
  <si>
    <t>Nominal cross section combination on splices</t>
  </si>
  <si>
    <t>6.10</t>
  </si>
  <si>
    <r>
      <t>Maximum total cross section ratio between opposite wires on splices</t>
    </r>
    <r>
      <rPr>
        <u/>
        <sz val="8"/>
        <rFont val="Arial"/>
        <family val="2"/>
      </rPr>
      <t xml:space="preserve"> Only applicable for waterproof splices</t>
    </r>
  </si>
  <si>
    <t>6.11</t>
  </si>
  <si>
    <t>Position of splices in relation to components</t>
  </si>
  <si>
    <t>6.12</t>
  </si>
  <si>
    <t>Position of splices in relation to takeouts</t>
  </si>
  <si>
    <t>6.13</t>
  </si>
  <si>
    <t xml:space="preserve">Minimum length of circuits connecting two splices
</t>
  </si>
  <si>
    <t>6.14</t>
  </si>
  <si>
    <t>6.15</t>
  </si>
  <si>
    <t>Distance between splicing (≥ 150 mm)
(only for on-board splice welding)</t>
  </si>
  <si>
    <t>6.16</t>
  </si>
  <si>
    <t xml:space="preserve">Distance of splices within a CAN network system 
(x= 0 mm)
</t>
  </si>
  <si>
    <t>6.17</t>
  </si>
  <si>
    <t>Position of CAN splices within a W/H</t>
  </si>
  <si>
    <t>6.18</t>
  </si>
  <si>
    <r>
      <t xml:space="preserve">Minimum circuit length between an
 </t>
    </r>
    <r>
      <rPr>
        <u/>
        <sz val="8"/>
        <rFont val="Arial"/>
        <family val="2"/>
      </rPr>
      <t xml:space="preserve">ultrasonic splice </t>
    </r>
    <r>
      <rPr>
        <sz val="8"/>
        <rFont val="Arial"/>
        <family val="2"/>
      </rPr>
      <t>and crimped terminals (500mm)</t>
    </r>
  </si>
  <si>
    <t>6.19</t>
  </si>
  <si>
    <t xml:space="preserve">Minimum circuit length to allow 
using heat shrink machines   </t>
  </si>
  <si>
    <t>6.20</t>
  </si>
  <si>
    <t>No Brass materials for Bonder Welding</t>
  </si>
  <si>
    <t>6.21</t>
  </si>
  <si>
    <t>Avoid U-turn splices</t>
  </si>
  <si>
    <t>6.22</t>
  </si>
  <si>
    <t>Welding Wire to Terminal</t>
  </si>
  <si>
    <t>6.23</t>
  </si>
  <si>
    <t>Usage of Anticapillary Wire in a splice</t>
  </si>
  <si>
    <t>7</t>
  </si>
  <si>
    <t>High Voltage</t>
  </si>
  <si>
    <t>7.01</t>
  </si>
  <si>
    <t>Properly marking wires when multiple wires of the same color are in a single connector</t>
  </si>
  <si>
    <t>7.02</t>
  </si>
  <si>
    <t>Specify which wires go into each channel 
of a shield / trough / routing aid</t>
  </si>
  <si>
    <t>7.03</t>
  </si>
  <si>
    <t>Use a tie strap to secure wires 
to shields / troughs / routing aids</t>
  </si>
  <si>
    <t>7.04</t>
  </si>
  <si>
    <t>No HV wires with paper</t>
  </si>
  <si>
    <t>7.05</t>
  </si>
  <si>
    <t>Avoid terminals that have coil springs</t>
  </si>
  <si>
    <t>7.06</t>
  </si>
  <si>
    <t>Avoid using pre-assembled connector kits</t>
  </si>
  <si>
    <t>N/A FOR DFM ACTIVITIES WITH MANUFACTURING</t>
  </si>
  <si>
    <t>8</t>
  </si>
  <si>
    <t>Automation</t>
  </si>
  <si>
    <t>8.01</t>
  </si>
  <si>
    <t>Wire Part Numbers should be up to 30</t>
  </si>
  <si>
    <t>8.02</t>
  </si>
  <si>
    <t>Wire length must be between 300mm and 3000mm</t>
  </si>
  <si>
    <t>8.03</t>
  </si>
  <si>
    <t>Limit nominal cross-sections of single-core wires 0.13-2.5mm²</t>
  </si>
  <si>
    <t>8.04</t>
  </si>
  <si>
    <t>Avoid shielded, multicore, antenna / specialty cables</t>
  </si>
  <si>
    <t>8.05</t>
  </si>
  <si>
    <t>Connector insertion surface must be flat</t>
  </si>
  <si>
    <t>8.06</t>
  </si>
  <si>
    <t>Minimum distance from connector extremity to cavities</t>
  </si>
  <si>
    <t>8.07</t>
  </si>
  <si>
    <t>Connector size must be maximum 50mm*120mm*50mm</t>
  </si>
  <si>
    <t>8.08</t>
  </si>
  <si>
    <t>Secondary lock design</t>
  </si>
  <si>
    <t>8.09</t>
  </si>
  <si>
    <t>Lever / Cover design</t>
  </si>
  <si>
    <t>8.10</t>
  </si>
  <si>
    <t>Avoid usage of splices, eyelets and multi-crimping</t>
  </si>
  <si>
    <t>8.11</t>
  </si>
  <si>
    <t>Selection of connector terminals</t>
  </si>
  <si>
    <t>8.12</t>
  </si>
  <si>
    <t>Selection of Cavity Seals</t>
  </si>
  <si>
    <t>8.13</t>
  </si>
  <si>
    <t>Sub-assemblies should have maximum of 52 circuits</t>
  </si>
  <si>
    <t>8.14</t>
  </si>
  <si>
    <t>W/H drawing must have maximum of 24 different Terminal PNs</t>
  </si>
  <si>
    <t>8.15</t>
  </si>
  <si>
    <t>W/H drawing must have maximum of 16 different Cavity Seal PNs</t>
  </si>
  <si>
    <t>8.16</t>
  </si>
  <si>
    <t>HV - Select Clips for oval holes (only for YNCA)</t>
  </si>
  <si>
    <t>8.17</t>
  </si>
  <si>
    <t>HV - Avoid usage of cloth tape</t>
  </si>
  <si>
    <t>8.18</t>
  </si>
  <si>
    <t>HV - Select only one type of Tape for the whole harness</t>
  </si>
  <si>
    <t>8.19</t>
  </si>
  <si>
    <t>HV – Minimum clearance between the end wire and any accessory must be 300mm</t>
  </si>
  <si>
    <t>8.20</t>
  </si>
  <si>
    <t>HV - Select a connector with a straight terminal insertion</t>
  </si>
  <si>
    <t>8.21</t>
  </si>
  <si>
    <t>HV - Select a wire type insulation with a minimum clearance of 0.2mm between mininum tolerance connector rear holder diameter and maximum wire insulation diameter</t>
  </si>
  <si>
    <t>AB123</t>
  </si>
  <si>
    <t>X4238-A957</t>
  </si>
  <si>
    <t>GM</t>
  </si>
  <si>
    <t xml:space="preserve">Body </t>
  </si>
  <si>
    <t>MTY</t>
  </si>
  <si>
    <t>First name,  Last name</t>
  </si>
  <si>
    <t>Ricky Williams</t>
  </si>
  <si>
    <t>Design</t>
  </si>
  <si>
    <t>Please review before signing off on DFM.</t>
  </si>
  <si>
    <t>Mike Brown</t>
  </si>
  <si>
    <t xml:space="preserve">Manufacturing  
</t>
  </si>
  <si>
    <t>Plant Floor</t>
  </si>
  <si>
    <t>Bryson Green</t>
  </si>
  <si>
    <t>Carlos Lopez</t>
  </si>
  <si>
    <t>Manager</t>
  </si>
  <si>
    <t>Body</t>
  </si>
  <si>
    <t>S</t>
  </si>
  <si>
    <t>Chapter name</t>
  </si>
  <si>
    <t>S.01</t>
  </si>
  <si>
    <t>Taping on thin branches (spot tape)</t>
  </si>
  <si>
    <t>yes</t>
  </si>
  <si>
    <t>S.02</t>
  </si>
  <si>
    <t>Avoid similar terminal on single circuits</t>
  </si>
  <si>
    <t>S: Checked</t>
  </si>
  <si>
    <t>S.03</t>
  </si>
  <si>
    <t>no</t>
  </si>
  <si>
    <t>A: Detail will be
 implemented with next release</t>
  </si>
  <si>
    <t>S.04</t>
  </si>
  <si>
    <t>Crimp force Monitoring: Phantom errors based on small headroom (discussed with the plant</t>
  </si>
  <si>
    <t>open</t>
  </si>
  <si>
    <t>S: Waiting on MFG input</t>
  </si>
  <si>
    <t>waiting on prototype builds</t>
  </si>
  <si>
    <t>S.05</t>
  </si>
  <si>
    <t>S: No change of wire color possible:
OEM requirement</t>
  </si>
  <si>
    <t>at connector C321</t>
  </si>
  <si>
    <t>solved by wire insertion at 
different line position</t>
  </si>
  <si>
    <t>S.06</t>
  </si>
  <si>
    <t>Total quantity of wire on a splice
(end splice 6 / go through splice 10)</t>
  </si>
  <si>
    <t>a change will have a huge effect 
to the whole architecture</t>
  </si>
  <si>
    <t>at splice S456 number of wire 12</t>
  </si>
  <si>
    <t>splice has to be verified by 
manufacturing feasibility study</t>
  </si>
  <si>
    <t>at splice S789 number of wire 19</t>
  </si>
  <si>
    <t>technically not possible</t>
  </si>
  <si>
    <t>DFM Guideline Checklist Explanation</t>
  </si>
  <si>
    <t xml:space="preserve">YES means: The design fulfill 100% the DFM requirements. </t>
  </si>
  <si>
    <t>NO means: The design is against the DFM requirements.</t>
  </si>
  <si>
    <t>OPEN means: The design is not finished, the final design is not defined.</t>
  </si>
  <si>
    <t>N/A means: DFM requirements are not applicable for this W/H</t>
  </si>
  <si>
    <t>Status:  Add here reason for rejection, additional information.</t>
  </si>
  <si>
    <t>Action: Add here what are the next steps for this specific item.</t>
  </si>
  <si>
    <t>Please add for each comment the S for Status or A for Action.</t>
  </si>
  <si>
    <t>Please describe clearly the location e.g. by drawing grid, connector name, node number…</t>
  </si>
  <si>
    <t>YES means: MFG agreed to the design and the product can be built efficiently.</t>
  </si>
  <si>
    <t>NO means: MFG can not build the product within the normal range.</t>
  </si>
  <si>
    <t>OPEN means: MFG has to establish the answer, e.g. for splices to establish CPK data.</t>
  </si>
  <si>
    <t>Add here any comment which is useful to explain the status/next action.</t>
  </si>
  <si>
    <t>DOCUMENT HISTORY:</t>
  </si>
  <si>
    <t>Revision Summary</t>
  </si>
  <si>
    <t>Revision</t>
  </si>
  <si>
    <t>Date</t>
  </si>
  <si>
    <t>Document control number changed to EA-EN-WH-P-009-F-01. Supersedes previous version EA-EN-WH-I-010-F-01</t>
  </si>
  <si>
    <t>New</t>
  </si>
  <si>
    <t>08/Oct/2021</t>
  </si>
  <si>
    <t>Automatic naming after Cover Checksheet input
Revision Check Sheet Explanation item 1
Revision of titles  4.11, 6.18, 7.05 
Added new DFM items 1.13, 1.14
Remove item 2.26
Merge chapter 2 and 6 sheets</t>
  </si>
  <si>
    <t>1.0</t>
  </si>
  <si>
    <t>28/Feb/2022</t>
  </si>
  <si>
    <t>Revision of title  5.12
Added new DFM item 5.15</t>
  </si>
  <si>
    <t>2.0</t>
  </si>
  <si>
    <t>31/Mar/2022</t>
  </si>
  <si>
    <t>Status summary correction</t>
  </si>
  <si>
    <t>3.0</t>
  </si>
  <si>
    <t>09/Sep/2022</t>
  </si>
  <si>
    <t>Work Instruction and CheckSheet Explanation updates
Status Summary update
Revision of Items 2.04, 3.08, 3.11, 6.09
Added new DFM item 7.06
Added new Chapter 8 - Automation</t>
  </si>
  <si>
    <t>4.0</t>
  </si>
  <si>
    <t>24/Apr/2023</t>
  </si>
  <si>
    <t>Status Summary correction</t>
  </si>
  <si>
    <t>5.0</t>
  </si>
  <si>
    <t xml:space="preserve">This Global Design For Manufacturing Guideline is to define standardized concepts which provide the best practice for an engineering design that suits the manufacturing requirements in relation to handling and processing. This will enable the plants to deliver high quality harnesses at an optimized efficiency level. In addition, the guideline should help to standardize the engineering design.
Chapter 1 of the Global DFM Guideline focuses on the items that may be needed before RFQ. The content of this chapter needs to be considered before the RFQ phase. During the architecture and general strategies phase, the general items from Chapter 1 have to be clarified. After a general decision on the items during design phase, the items from Chapter 1 do not have to be checked again.
Chapters 2 through 7 of the Global DFM Guideline focus on the items that may be needed after the RFQ has been established. The Design Engineer should concentrate on the DFM items, in order to meet the Quality Cost Delivery (QCD). 
Chapter 8 focuses on the items required for Automation basing on the requirements of the Yazaki equipment and others available in the market. The content of this chapter needs to be considered as a “must” if the BU/Customer requires automation. This need to be done before and during RFQ phase when defining the architecture and general strategies of the program.
</t>
  </si>
  <si>
    <t>Removal of General Status
Add N/A status
Status Summary Update
Add Quality on Cover sheet</t>
  </si>
  <si>
    <t>11/Oct/2023</t>
  </si>
  <si>
    <t>Process Owner</t>
  </si>
  <si>
    <t>Joerg Tillmann</t>
  </si>
  <si>
    <t>7.0</t>
  </si>
  <si>
    <t>18/04/2024</t>
  </si>
  <si>
    <t>Avoid usage of similar clips contained in the same W/H</t>
  </si>
  <si>
    <t>Taping on branches ≤ 150 mm</t>
  </si>
  <si>
    <t>Communize circuits names and types for the same functions across derivatives</t>
  </si>
  <si>
    <t>Avoid using grease and /or lubricants</t>
  </si>
  <si>
    <t>Proper orientations for takeouts (keep in 2 dimensions)</t>
  </si>
  <si>
    <t>Minimum clearance from takeout point to connector (≥ 100 mm)</t>
  </si>
  <si>
    <t>Minimum circuit length (100 mm / 200 mm / 300 mm)</t>
  </si>
  <si>
    <t>Proper location for wires 0.13 mm2 in a connector</t>
  </si>
  <si>
    <t>6.24</t>
  </si>
  <si>
    <t>Distance of splices to each other within a W/H bundle (≥ 60 mm)</t>
  </si>
  <si>
    <t>Avoid Splices with only two wires with same attributes</t>
  </si>
  <si>
    <t>Distance of fixing parts to takeout</t>
  </si>
  <si>
    <t>Revision of 1.07, 1.11, 2.12, 5.09
Added new DFM item 6.24 
Delete items 1.12, 3.04, 4.01, 4.13, 5.07, 5.12, 6.05</t>
  </si>
  <si>
    <t>RSA</t>
  </si>
  <si>
    <t>YMM</t>
  </si>
  <si>
    <t>RNBU</t>
  </si>
  <si>
    <t xml:space="preserve">YST engineering dpt. do not choose the connectors (Renault do it). </t>
  </si>
  <si>
    <t xml:space="preserve">this topic can not be taken in account by YST engeneering dpt (this must be evaluated by the ME in plant) </t>
  </si>
  <si>
    <t xml:space="preserve">this topic can not be taken in account by YST engeneering dpt (this must be evaluated by the ME in plant after TR) </t>
  </si>
  <si>
    <t>Need a feedback of plant , if the problem exist.</t>
  </si>
  <si>
    <t xml:space="preserve">this topic can not be taken in account by YST engineering dpt (this must be evaluated by the ME in plant) </t>
  </si>
  <si>
    <t>HARN-REAR BUMPER</t>
  </si>
  <si>
    <t>DE</t>
  </si>
  <si>
    <t>A.SAYGI</t>
  </si>
  <si>
    <t>B.KAR</t>
  </si>
  <si>
    <t>LE</t>
  </si>
  <si>
    <t>175AA,174AA</t>
  </si>
  <si>
    <t>OCCM07NQ6Q  021</t>
  </si>
  <si>
    <t>HCB / DEFNE</t>
  </si>
  <si>
    <t>N298721 - N298720, N2044304-N298728</t>
  </si>
  <si>
    <t>FX30:E9P-A / FX28:E151V-A / ENAU-F:FX26
FX301-E66H-B / FX300-E9P-B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</si>
</sst>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30" x14ac:knownFonts="1">
    <font>
      <sz val="11"/>
      <color theme="1"/>
      <name val="Calibri"/>
      <family val="2"/>
      <scheme val="minor"/>
    </font>
    <font>
      <sz val="10"/>
      <name val="Arial"/>
      <family val="2"/>
    </font>
    <font>
      <b/>
      <sz val="12"/>
      <name val="Calibri"/>
      <family val="2"/>
      <scheme val="minor"/>
    </font>
    <font>
      <b/>
      <sz val="11"/>
      <name val="Calibri"/>
      <family val="2"/>
      <scheme val="minor"/>
    </font>
    <font>
      <b/>
      <sz val="10"/>
      <name val="Calibri"/>
      <family val="2"/>
      <scheme val="minor"/>
    </font>
    <font>
      <b/>
      <sz val="16"/>
      <name val="Calibri"/>
      <family val="2"/>
      <scheme val="minor"/>
    </font>
    <font>
      <b/>
      <sz val="12"/>
      <name val="Arial"/>
      <family val="2"/>
    </font>
    <font>
      <b/>
      <sz val="9"/>
      <name val="Calibri"/>
      <family val="2"/>
      <scheme val="minor"/>
    </font>
    <font>
      <sz val="9"/>
      <name val="Calibri"/>
      <family val="2"/>
      <scheme val="minor"/>
    </font>
    <font>
      <u/>
      <sz val="10"/>
      <color indexed="12"/>
      <name val="Arial"/>
      <family val="2"/>
    </font>
    <font>
      <b/>
      <sz val="14"/>
      <name val="Arial"/>
      <family val="2"/>
    </font>
    <font>
      <b/>
      <sz val="11"/>
      <name val="Arial"/>
      <family val="2"/>
    </font>
    <font>
      <b/>
      <sz val="13"/>
      <name val="Arial"/>
      <family val="2"/>
    </font>
    <font>
      <sz val="11"/>
      <name val="Arial"/>
      <family val="2"/>
    </font>
    <font>
      <sz val="13"/>
      <name val="Arial"/>
      <family val="2"/>
    </font>
    <font>
      <b/>
      <sz val="10"/>
      <name val="Arial"/>
      <family val="2"/>
    </font>
    <font>
      <sz val="10"/>
      <color indexed="8"/>
      <name val="Arial"/>
      <family val="2"/>
    </font>
    <font>
      <sz val="14"/>
      <name val="Arial"/>
      <family val="2"/>
    </font>
    <font>
      <b/>
      <sz val="9"/>
      <name val="Arial"/>
      <family val="2"/>
    </font>
    <font>
      <sz val="8"/>
      <name val="Arial"/>
      <family val="2"/>
    </font>
    <font>
      <sz val="9"/>
      <name val="Arial"/>
      <family val="2"/>
    </font>
    <font>
      <sz val="9"/>
      <name val="Tahoma"/>
      <family val="2"/>
    </font>
    <font>
      <b/>
      <sz val="9"/>
      <name val="Tahoma"/>
      <family val="2"/>
    </font>
    <font>
      <b/>
      <sz val="8"/>
      <name val="Arial"/>
      <family val="2"/>
    </font>
    <font>
      <vertAlign val="superscript"/>
      <sz val="8"/>
      <name val="Arial"/>
      <family val="2"/>
    </font>
    <font>
      <u/>
      <sz val="8"/>
      <name val="Arial"/>
      <family val="2"/>
    </font>
    <font>
      <sz val="10"/>
      <name val="Blackadder ITC"/>
      <family val="5"/>
    </font>
    <font>
      <sz val="10"/>
      <name val="Edwardian Script ITC"/>
      <family val="4"/>
    </font>
    <font>
      <sz val="11"/>
      <name val="Calibri"/>
      <family val="2"/>
      <scheme val="minor"/>
    </font>
    <font>
      <sz val="10"/>
      <color theme="0"/>
      <name val="Arial"/>
      <family val="2"/>
    </font>
  </fonts>
  <fills count="6">
    <fill>
      <patternFill patternType="none"/>
    </fill>
    <fill>
      <patternFill patternType="gray125"/>
    </fill>
    <fill>
      <patternFill patternType="solid">
        <fgColor theme="0"/>
        <bgColor indexed="64"/>
      </patternFill>
    </fill>
    <fill>
      <patternFill patternType="solid">
        <fgColor theme="6" tint="0.59996337778862885"/>
        <bgColor indexed="64"/>
      </patternFill>
    </fill>
    <fill>
      <patternFill patternType="solid">
        <fgColor theme="2"/>
        <bgColor indexed="64"/>
      </patternFill>
    </fill>
    <fill>
      <patternFill patternType="solid">
        <fgColor theme="6" tint="0.79995117038483843"/>
        <bgColor indexed="64"/>
      </patternFill>
    </fill>
  </fills>
  <borders count="43">
    <border>
      <left/>
      <right/>
      <top/>
      <bottom/>
      <diagonal/>
    </border>
    <border>
      <left style="thin">
        <color auto="1"/>
      </left>
      <right style="double">
        <color auto="1"/>
      </right>
      <top style="double">
        <color auto="1"/>
      </top>
      <bottom style="thin">
        <color auto="1"/>
      </bottom>
      <diagonal/>
    </border>
    <border>
      <left style="thin">
        <color auto="1"/>
      </left>
      <right style="double">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double">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top style="double">
        <color auto="1"/>
      </top>
      <bottom/>
      <diagonal/>
    </border>
    <border>
      <left style="double">
        <color auto="1"/>
      </left>
      <right/>
      <top style="thin">
        <color auto="1"/>
      </top>
      <bottom style="thin">
        <color auto="1"/>
      </bottom>
      <diagonal/>
    </border>
    <border>
      <left style="double">
        <color auto="1"/>
      </left>
      <right/>
      <top style="thin">
        <color auto="1"/>
      </top>
      <bottom style="double">
        <color auto="1"/>
      </bottom>
      <diagonal/>
    </border>
    <border>
      <left/>
      <right/>
      <top style="thin">
        <color auto="1"/>
      </top>
      <bottom style="double">
        <color auto="1"/>
      </bottom>
      <diagonal/>
    </border>
    <border>
      <left/>
      <right style="double">
        <color auto="1"/>
      </right>
      <top style="thin">
        <color auto="1"/>
      </top>
      <bottom style="double">
        <color auto="1"/>
      </bottom>
      <diagonal/>
    </border>
    <border>
      <left style="double">
        <color auto="1"/>
      </left>
      <right/>
      <top style="double">
        <color auto="1"/>
      </top>
      <bottom/>
      <diagonal/>
    </border>
    <border>
      <left/>
      <right style="thin">
        <color auto="1"/>
      </right>
      <top style="double">
        <color auto="1"/>
      </top>
      <bottom/>
      <diagonal/>
    </border>
    <border>
      <left style="double">
        <color auto="1"/>
      </left>
      <right/>
      <top/>
      <bottom style="thin">
        <color auto="1"/>
      </bottom>
      <diagonal/>
    </border>
    <border>
      <left style="double">
        <color auto="1"/>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s>
  <cellStyleXfs count="4">
    <xf numFmtId="0" fontId="0" fillId="0" borderId="0"/>
    <xf numFmtId="0" fontId="1" fillId="0" borderId="0"/>
    <xf numFmtId="0" fontId="9" fillId="0" borderId="0" applyNumberFormat="0" applyFill="0" applyBorder="0">
      <protection locked="0"/>
    </xf>
    <xf numFmtId="9" fontId="1" fillId="0" borderId="0" applyFont="0" applyFill="0" applyBorder="0" applyAlignment="0" applyProtection="0"/>
  </cellStyleXfs>
  <cellXfs count="290">
    <xf numFmtId="0" fontId="0" fillId="0" borderId="0" xfId="0"/>
    <xf numFmtId="0" fontId="1" fillId="0" borderId="0" xfId="1"/>
    <xf numFmtId="0" fontId="3" fillId="0" borderId="1" xfId="1" applyFont="1" applyBorder="1" applyAlignment="1">
      <alignment horizontal="center"/>
    </xf>
    <xf numFmtId="0" fontId="3" fillId="0" borderId="2" xfId="1" applyFont="1" applyBorder="1" applyAlignment="1">
      <alignment horizontal="center" vertical="center" wrapText="1"/>
    </xf>
    <xf numFmtId="0" fontId="6" fillId="0" borderId="0" xfId="1" applyFont="1" applyAlignment="1">
      <alignment wrapText="1"/>
    </xf>
    <xf numFmtId="164" fontId="4" fillId="0" borderId="2" xfId="1" applyNumberFormat="1" applyFont="1" applyBorder="1" applyAlignment="1">
      <alignment horizontal="center" vertical="center" wrapText="1"/>
    </xf>
    <xf numFmtId="0" fontId="9" fillId="0" borderId="0" xfId="2" applyBorder="1" applyProtection="1"/>
    <xf numFmtId="0" fontId="10" fillId="0" borderId="0" xfId="1" applyFont="1" applyAlignment="1">
      <alignment vertical="center"/>
    </xf>
    <xf numFmtId="0" fontId="11" fillId="0" borderId="0" xfId="1" applyFont="1" applyAlignment="1">
      <alignment horizontal="center"/>
    </xf>
    <xf numFmtId="0" fontId="6" fillId="0" borderId="3" xfId="1" applyFont="1" applyBorder="1" applyAlignment="1">
      <alignment horizontal="center"/>
    </xf>
    <xf numFmtId="0" fontId="6" fillId="0" borderId="4" xfId="1" applyFont="1" applyBorder="1" applyAlignment="1">
      <alignment vertical="center"/>
    </xf>
    <xf numFmtId="0" fontId="6" fillId="0" borderId="5" xfId="1" applyFont="1" applyBorder="1" applyAlignment="1">
      <alignment vertical="center"/>
    </xf>
    <xf numFmtId="0" fontId="1" fillId="0" borderId="6" xfId="1" applyBorder="1"/>
    <xf numFmtId="0" fontId="4" fillId="0" borderId="2" xfId="1" applyFont="1" applyBorder="1" applyAlignment="1">
      <alignment horizontal="center"/>
    </xf>
    <xf numFmtId="0" fontId="1" fillId="0" borderId="0" xfId="1" applyAlignment="1">
      <alignment horizontal="center" vertical="center" wrapText="1"/>
    </xf>
    <xf numFmtId="0" fontId="14" fillId="0" borderId="0" xfId="1" applyFont="1" applyAlignment="1">
      <alignment horizontal="center" vertical="center" wrapText="1"/>
    </xf>
    <xf numFmtId="0" fontId="1" fillId="0" borderId="0" xfId="1" applyAlignment="1">
      <alignment horizontal="center" vertical="center"/>
    </xf>
    <xf numFmtId="0" fontId="15" fillId="0" borderId="0" xfId="1" applyFont="1" applyAlignment="1">
      <alignment horizontal="center" vertical="center" textRotation="180"/>
    </xf>
    <xf numFmtId="0" fontId="1" fillId="0" borderId="7" xfId="1" applyBorder="1"/>
    <xf numFmtId="0" fontId="13" fillId="0" borderId="0" xfId="1" applyFont="1"/>
    <xf numFmtId="0" fontId="1" fillId="0" borderId="0" xfId="1" applyAlignment="1">
      <alignment horizontal="left"/>
    </xf>
    <xf numFmtId="0" fontId="16" fillId="0" borderId="0" xfId="1" applyFont="1" applyAlignment="1">
      <alignment horizontal="left" vertical="center"/>
    </xf>
    <xf numFmtId="0" fontId="1" fillId="0" borderId="0" xfId="1" applyAlignment="1">
      <alignment horizontal="left" vertical="center"/>
    </xf>
    <xf numFmtId="0" fontId="1" fillId="0" borderId="0" xfId="1" applyAlignment="1">
      <alignment horizontal="center"/>
    </xf>
    <xf numFmtId="0" fontId="1" fillId="0" borderId="4" xfId="1" applyBorder="1" applyAlignment="1">
      <alignment vertical="top"/>
    </xf>
    <xf numFmtId="0" fontId="1" fillId="0" borderId="5" xfId="1" applyBorder="1" applyAlignment="1">
      <alignment vertical="top"/>
    </xf>
    <xf numFmtId="0" fontId="10" fillId="0" borderId="0" xfId="1" applyFont="1" applyAlignment="1">
      <alignment horizontal="center" vertical="center" textRotation="180"/>
    </xf>
    <xf numFmtId="0" fontId="17" fillId="0" borderId="0" xfId="1" applyFont="1"/>
    <xf numFmtId="0" fontId="1" fillId="0" borderId="8" xfId="1" applyBorder="1" applyAlignment="1">
      <alignment vertical="top"/>
    </xf>
    <xf numFmtId="0" fontId="10" fillId="0" borderId="0" xfId="1" applyFont="1" applyAlignment="1">
      <alignment vertical="center" textRotation="180"/>
    </xf>
    <xf numFmtId="0" fontId="1" fillId="0" borderId="9" xfId="1" applyBorder="1" applyAlignment="1">
      <alignment horizontal="center" vertical="center"/>
    </xf>
    <xf numFmtId="0" fontId="15" fillId="0" borderId="0" xfId="1" applyFont="1" applyAlignment="1">
      <alignment horizontal="center"/>
    </xf>
    <xf numFmtId="0" fontId="1" fillId="0" borderId="3" xfId="1" applyBorder="1" applyAlignment="1">
      <alignment horizontal="center" vertical="center"/>
    </xf>
    <xf numFmtId="0" fontId="1" fillId="0" borderId="4" xfId="1" applyBorder="1" applyAlignment="1">
      <alignment horizontal="center" vertical="top"/>
    </xf>
    <xf numFmtId="0" fontId="1" fillId="0" borderId="6" xfId="1" applyBorder="1" applyAlignment="1">
      <alignment horizontal="center" vertical="center"/>
    </xf>
    <xf numFmtId="0" fontId="1" fillId="0" borderId="0" xfId="1" applyAlignment="1">
      <alignment horizontal="center" vertical="top"/>
    </xf>
    <xf numFmtId="0" fontId="1" fillId="0" borderId="10" xfId="1" applyBorder="1" applyAlignment="1">
      <alignment vertical="top"/>
    </xf>
    <xf numFmtId="0" fontId="1" fillId="0" borderId="0" xfId="1" applyAlignment="1">
      <alignment vertical="top"/>
    </xf>
    <xf numFmtId="0" fontId="1" fillId="0" borderId="11" xfId="1" applyBorder="1" applyAlignment="1">
      <alignment horizontal="center" vertical="center"/>
    </xf>
    <xf numFmtId="0" fontId="1" fillId="0" borderId="7" xfId="1" applyBorder="1" applyAlignment="1">
      <alignment vertical="top"/>
    </xf>
    <xf numFmtId="0" fontId="1" fillId="0" borderId="12" xfId="1" applyBorder="1" applyAlignment="1">
      <alignment vertical="top"/>
    </xf>
    <xf numFmtId="0" fontId="16" fillId="0" borderId="4" xfId="1" applyFont="1" applyBorder="1" applyAlignment="1">
      <alignment vertical="center"/>
    </xf>
    <xf numFmtId="0" fontId="1" fillId="0" borderId="4" xfId="1" applyBorder="1" applyAlignment="1">
      <alignment vertical="center"/>
    </xf>
    <xf numFmtId="0" fontId="1" fillId="0" borderId="4" xfId="1" applyBorder="1"/>
    <xf numFmtId="0" fontId="19" fillId="0" borderId="4" xfId="1" applyFont="1" applyBorder="1" applyAlignment="1">
      <alignment horizontal="center"/>
    </xf>
    <xf numFmtId="0" fontId="1" fillId="0" borderId="4" xfId="1" applyBorder="1" applyAlignment="1">
      <alignment horizontal="center"/>
    </xf>
    <xf numFmtId="0" fontId="19" fillId="0" borderId="0" xfId="1" applyFont="1" applyAlignment="1">
      <alignment horizontal="center"/>
    </xf>
    <xf numFmtId="1" fontId="1" fillId="0" borderId="0" xfId="1" applyNumberFormat="1" applyAlignment="1">
      <alignment horizontal="center"/>
    </xf>
    <xf numFmtId="2" fontId="1" fillId="0" borderId="0" xfId="1" applyNumberFormat="1" applyAlignment="1">
      <alignment horizontal="center"/>
    </xf>
    <xf numFmtId="0" fontId="20" fillId="0" borderId="8" xfId="1" applyFont="1" applyBorder="1" applyAlignment="1">
      <alignment horizontal="center" vertical="center" wrapText="1"/>
    </xf>
    <xf numFmtId="0" fontId="20" fillId="0" borderId="8" xfId="1" applyFont="1" applyBorder="1" applyAlignment="1">
      <alignment horizontal="center" vertical="center"/>
    </xf>
    <xf numFmtId="0" fontId="20" fillId="0" borderId="7" xfId="1" applyFont="1" applyBorder="1" applyAlignment="1">
      <alignment horizontal="center" vertical="center" wrapText="1"/>
    </xf>
    <xf numFmtId="0" fontId="20" fillId="2" borderId="11" xfId="1" applyFont="1" applyFill="1" applyBorder="1" applyAlignment="1">
      <alignment horizontal="center" vertical="center"/>
    </xf>
    <xf numFmtId="0" fontId="20" fillId="2" borderId="8" xfId="1" applyFont="1" applyFill="1" applyBorder="1" applyAlignment="1">
      <alignment horizontal="center" vertical="center" wrapText="1"/>
    </xf>
    <xf numFmtId="0" fontId="20" fillId="2" borderId="8" xfId="1" applyFont="1" applyFill="1" applyBorder="1" applyAlignment="1">
      <alignment horizontal="center" vertical="center"/>
    </xf>
    <xf numFmtId="0" fontId="20" fillId="2" borderId="7" xfId="1" applyFont="1" applyFill="1" applyBorder="1" applyAlignment="1">
      <alignment horizontal="center" vertical="center" wrapText="1"/>
    </xf>
    <xf numFmtId="0" fontId="15" fillId="0" borderId="0" xfId="1" applyFont="1" applyAlignment="1">
      <alignment horizontal="center" vertical="center" textRotation="90"/>
    </xf>
    <xf numFmtId="0" fontId="1" fillId="0" borderId="0" xfId="1" applyAlignment="1">
      <alignment vertical="center"/>
    </xf>
    <xf numFmtId="0" fontId="10" fillId="0" borderId="0" xfId="1" applyFont="1" applyAlignment="1">
      <alignment horizontal="center" vertical="center" wrapText="1"/>
    </xf>
    <xf numFmtId="0" fontId="16" fillId="0" borderId="0" xfId="1" applyFont="1" applyAlignment="1">
      <alignment horizontal="center" vertical="center"/>
    </xf>
    <xf numFmtId="0" fontId="10" fillId="0" borderId="0" xfId="1" applyFont="1" applyAlignment="1">
      <alignment horizontal="center" vertical="center" textRotation="180" wrapText="1"/>
    </xf>
    <xf numFmtId="0" fontId="10" fillId="0" borderId="9" xfId="1" applyFont="1" applyBorder="1" applyAlignment="1">
      <alignment horizontal="center" vertical="center" textRotation="180"/>
    </xf>
    <xf numFmtId="0" fontId="11" fillId="0" borderId="9" xfId="1" applyFont="1" applyBorder="1" applyAlignment="1">
      <alignment horizontal="center" vertical="center" wrapText="1"/>
    </xf>
    <xf numFmtId="49" fontId="15" fillId="0" borderId="9" xfId="1" applyNumberFormat="1" applyFont="1" applyBorder="1" applyAlignment="1">
      <alignment horizontal="center" vertical="center"/>
    </xf>
    <xf numFmtId="49" fontId="1" fillId="0" borderId="9" xfId="1" applyNumberFormat="1" applyBorder="1" applyAlignment="1">
      <alignment horizontal="center" vertical="center"/>
    </xf>
    <xf numFmtId="0" fontId="19" fillId="2" borderId="9" xfId="1" applyFont="1" applyFill="1" applyBorder="1" applyAlignment="1">
      <alignment horizontal="center" vertical="center"/>
    </xf>
    <xf numFmtId="0" fontId="23" fillId="2" borderId="9" xfId="1" applyFont="1" applyFill="1" applyBorder="1" applyAlignment="1">
      <alignment horizontal="center" vertical="center"/>
    </xf>
    <xf numFmtId="0" fontId="11" fillId="2" borderId="9" xfId="1" applyFont="1" applyFill="1" applyBorder="1" applyAlignment="1">
      <alignment horizontal="center" vertical="center"/>
    </xf>
    <xf numFmtId="0" fontId="15" fillId="2" borderId="9" xfId="1" applyFont="1" applyFill="1" applyBorder="1" applyAlignment="1">
      <alignment horizontal="center"/>
    </xf>
    <xf numFmtId="0" fontId="19" fillId="2" borderId="9" xfId="1" applyFont="1" applyFill="1" applyBorder="1" applyAlignment="1">
      <alignment horizontal="center" vertical="center" wrapText="1"/>
    </xf>
    <xf numFmtId="0" fontId="19" fillId="2" borderId="9" xfId="1" applyFont="1" applyFill="1" applyBorder="1" applyAlignment="1">
      <alignment horizontal="center" wrapText="1"/>
    </xf>
    <xf numFmtId="2" fontId="1" fillId="0" borderId="0" xfId="1" applyNumberFormat="1" applyAlignment="1">
      <alignment vertical="center"/>
    </xf>
    <xf numFmtId="1" fontId="15" fillId="0" borderId="9" xfId="1" applyNumberFormat="1" applyFont="1" applyBorder="1" applyAlignment="1">
      <alignment horizontal="center" vertical="center"/>
    </xf>
    <xf numFmtId="49" fontId="1" fillId="0" borderId="9" xfId="2" applyNumberFormat="1" applyFont="1" applyBorder="1" applyAlignment="1" applyProtection="1">
      <alignment horizontal="center" vertical="center"/>
    </xf>
    <xf numFmtId="0" fontId="16" fillId="0" borderId="0" xfId="1" applyFont="1" applyAlignment="1">
      <alignment horizontal="left"/>
    </xf>
    <xf numFmtId="0" fontId="6" fillId="0" borderId="3" xfId="1" applyFont="1" applyBorder="1" applyAlignment="1">
      <alignment horizontal="left" vertical="center"/>
    </xf>
    <xf numFmtId="0" fontId="1" fillId="0" borderId="13" xfId="1" applyBorder="1" applyAlignment="1">
      <alignment horizontal="center" vertical="top"/>
    </xf>
    <xf numFmtId="0" fontId="1" fillId="0" borderId="14" xfId="1" applyBorder="1" applyAlignment="1">
      <alignment horizontal="center" vertical="top"/>
    </xf>
    <xf numFmtId="0" fontId="1" fillId="0" borderId="6" xfId="1" applyBorder="1" applyAlignment="1">
      <alignment horizontal="left" wrapText="1"/>
    </xf>
    <xf numFmtId="0" fontId="1" fillId="0" borderId="7" xfId="1" applyBorder="1" applyAlignment="1">
      <alignment horizontal="center" vertical="top"/>
    </xf>
    <xf numFmtId="0" fontId="1" fillId="0" borderId="6" xfId="1" applyBorder="1" applyAlignment="1">
      <alignment horizontal="left"/>
    </xf>
    <xf numFmtId="0" fontId="1" fillId="0" borderId="15" xfId="1" applyBorder="1" applyAlignment="1">
      <alignment horizontal="center" vertical="top"/>
    </xf>
    <xf numFmtId="14" fontId="1" fillId="0" borderId="15" xfId="1" applyNumberFormat="1" applyBorder="1" applyAlignment="1">
      <alignment horizontal="center" vertical="top"/>
    </xf>
    <xf numFmtId="0" fontId="26" fillId="0" borderId="15" xfId="1" applyFont="1" applyBorder="1" applyAlignment="1">
      <alignment horizontal="center" vertical="top"/>
    </xf>
    <xf numFmtId="0" fontId="27" fillId="0" borderId="15" xfId="1" applyFont="1" applyBorder="1" applyAlignment="1">
      <alignment horizontal="center" vertical="top"/>
    </xf>
    <xf numFmtId="0" fontId="19" fillId="2" borderId="9" xfId="1" applyFont="1" applyFill="1" applyBorder="1" applyAlignment="1">
      <alignment horizontal="center"/>
    </xf>
    <xf numFmtId="49" fontId="1" fillId="0" borderId="9" xfId="1" applyNumberFormat="1" applyBorder="1" applyAlignment="1">
      <alignment horizontal="center" vertical="center" wrapText="1"/>
    </xf>
    <xf numFmtId="0" fontId="6" fillId="0" borderId="6" xfId="1" applyFont="1" applyBorder="1" applyAlignment="1">
      <alignment horizontal="center"/>
    </xf>
    <xf numFmtId="0" fontId="6" fillId="0" borderId="0" xfId="1" applyFont="1" applyAlignment="1">
      <alignment vertical="center"/>
    </xf>
    <xf numFmtId="0" fontId="6" fillId="0" borderId="10" xfId="1" applyFont="1" applyBorder="1" applyAlignment="1">
      <alignment vertical="center"/>
    </xf>
    <xf numFmtId="0" fontId="15" fillId="0" borderId="6" xfId="1" applyFont="1" applyBorder="1" applyAlignment="1">
      <alignment horizontal="center"/>
    </xf>
    <xf numFmtId="0" fontId="1" fillId="0" borderId="10" xfId="1" applyBorder="1"/>
    <xf numFmtId="0" fontId="1" fillId="0" borderId="10" xfId="1" applyBorder="1" applyAlignment="1">
      <alignment horizontal="center"/>
    </xf>
    <xf numFmtId="0" fontId="1" fillId="0" borderId="0" xfId="1" applyAlignment="1">
      <alignment horizontal="right"/>
    </xf>
    <xf numFmtId="0" fontId="1" fillId="0" borderId="10" xfId="1" applyBorder="1" applyAlignment="1">
      <alignment horizontal="right"/>
    </xf>
    <xf numFmtId="0" fontId="1" fillId="0" borderId="11" xfId="1" applyBorder="1"/>
    <xf numFmtId="0" fontId="1" fillId="0" borderId="12" xfId="1" applyBorder="1"/>
    <xf numFmtId="2" fontId="3" fillId="0" borderId="16" xfId="1" applyNumberFormat="1" applyFont="1" applyBorder="1" applyAlignment="1">
      <alignment horizontal="left"/>
    </xf>
    <xf numFmtId="0" fontId="2" fillId="3" borderId="9" xfId="1" applyFont="1" applyFill="1" applyBorder="1" applyAlignment="1">
      <alignment horizontal="center"/>
    </xf>
    <xf numFmtId="0" fontId="28" fillId="0" borderId="9" xfId="1" applyFont="1" applyBorder="1" applyAlignment="1">
      <alignment horizontal="center" vertical="center"/>
    </xf>
    <xf numFmtId="0" fontId="1" fillId="0" borderId="7" xfId="1" applyBorder="1" applyAlignment="1">
      <alignment horizontal="center"/>
    </xf>
    <xf numFmtId="165" fontId="1" fillId="0" borderId="15" xfId="1" applyNumberFormat="1" applyBorder="1" applyAlignment="1">
      <alignment horizontal="center"/>
    </xf>
    <xf numFmtId="0" fontId="1" fillId="0" borderId="15" xfId="1" applyBorder="1" applyAlignment="1">
      <alignment horizontal="center"/>
    </xf>
    <xf numFmtId="0" fontId="19" fillId="0" borderId="13"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14" xfId="1" applyFont="1" applyBorder="1" applyAlignment="1">
      <alignment horizontal="center" vertical="center" wrapText="1"/>
    </xf>
    <xf numFmtId="0" fontId="20" fillId="0" borderId="11" xfId="1" applyFont="1" applyBorder="1" applyAlignment="1">
      <alignment horizontal="center" vertical="center"/>
    </xf>
    <xf numFmtId="9" fontId="0" fillId="2" borderId="9" xfId="3" applyFont="1" applyFill="1" applyBorder="1" applyAlignment="1">
      <alignment horizontal="center" vertical="center"/>
    </xf>
    <xf numFmtId="0" fontId="28" fillId="4" borderId="9" xfId="1" applyFont="1" applyFill="1" applyBorder="1" applyAlignment="1">
      <alignment horizontal="center" vertical="center"/>
    </xf>
    <xf numFmtId="0" fontId="28" fillId="4" borderId="9" xfId="1" applyFont="1" applyFill="1" applyBorder="1" applyAlignment="1">
      <alignment horizontal="center" vertical="center" wrapText="1"/>
    </xf>
    <xf numFmtId="0" fontId="28" fillId="2" borderId="9" xfId="1" applyFont="1" applyFill="1" applyBorder="1" applyAlignment="1">
      <alignment horizontal="center" vertical="center"/>
    </xf>
    <xf numFmtId="49" fontId="4" fillId="0" borderId="2" xfId="1" applyNumberFormat="1" applyFont="1" applyBorder="1" applyAlignment="1">
      <alignment horizontal="center"/>
    </xf>
    <xf numFmtId="0" fontId="4" fillId="0" borderId="2" xfId="1" applyFont="1" applyBorder="1" applyAlignment="1">
      <alignment horizontal="center" vertical="center" wrapText="1"/>
    </xf>
    <xf numFmtId="0" fontId="19" fillId="2" borderId="13" xfId="1" applyFont="1" applyFill="1" applyBorder="1" applyAlignment="1">
      <alignment vertical="center"/>
    </xf>
    <xf numFmtId="0" fontId="19" fillId="2" borderId="15" xfId="1" applyFont="1" applyFill="1" applyBorder="1" applyAlignment="1">
      <alignment vertical="center"/>
    </xf>
    <xf numFmtId="0" fontId="19" fillId="2" borderId="14" xfId="1" applyFont="1" applyFill="1" applyBorder="1" applyAlignment="1">
      <alignment vertical="center"/>
    </xf>
    <xf numFmtId="0" fontId="11" fillId="2" borderId="17" xfId="1" applyFont="1" applyFill="1" applyBorder="1" applyAlignment="1">
      <alignment vertical="center"/>
    </xf>
    <xf numFmtId="0" fontId="1" fillId="2" borderId="18" xfId="1" applyFill="1" applyBorder="1" applyAlignment="1">
      <alignment vertical="center"/>
    </xf>
    <xf numFmtId="0" fontId="1" fillId="2" borderId="19" xfId="1" applyFill="1" applyBorder="1" applyAlignment="1">
      <alignment vertical="center"/>
    </xf>
    <xf numFmtId="0" fontId="1" fillId="2" borderId="20" xfId="1" applyFill="1" applyBorder="1" applyAlignment="1">
      <alignment vertical="center"/>
    </xf>
    <xf numFmtId="0" fontId="1" fillId="2" borderId="0" xfId="1" applyFill="1" applyAlignment="1">
      <alignment vertical="center"/>
    </xf>
    <xf numFmtId="0" fontId="1" fillId="2" borderId="21" xfId="1" applyFill="1" applyBorder="1" applyAlignment="1">
      <alignment vertical="center"/>
    </xf>
    <xf numFmtId="0" fontId="29" fillId="2" borderId="0" xfId="1" applyFont="1" applyFill="1" applyAlignment="1">
      <alignment vertical="center"/>
    </xf>
    <xf numFmtId="0" fontId="1" fillId="2" borderId="6" xfId="1" applyFill="1" applyBorder="1" applyAlignment="1">
      <alignment vertical="center"/>
    </xf>
    <xf numFmtId="0" fontId="1" fillId="2" borderId="22" xfId="1" applyFill="1" applyBorder="1" applyAlignment="1">
      <alignment vertical="center"/>
    </xf>
    <xf numFmtId="0" fontId="1" fillId="2" borderId="23" xfId="1" applyFill="1" applyBorder="1" applyAlignment="1">
      <alignment vertical="center"/>
    </xf>
    <xf numFmtId="0" fontId="1" fillId="2" borderId="24" xfId="1" applyFill="1" applyBorder="1" applyAlignment="1">
      <alignment vertical="center"/>
    </xf>
    <xf numFmtId="0" fontId="1" fillId="2" borderId="18" xfId="1" applyFill="1" applyBorder="1" applyAlignment="1">
      <alignment horizontal="center" vertical="center"/>
    </xf>
    <xf numFmtId="0" fontId="1" fillId="2" borderId="19" xfId="1" applyFill="1" applyBorder="1" applyAlignment="1">
      <alignment horizontal="center" vertical="center"/>
    </xf>
    <xf numFmtId="0" fontId="1" fillId="2" borderId="0" xfId="1" applyFill="1" applyAlignment="1">
      <alignment horizontal="center" vertical="center"/>
    </xf>
    <xf numFmtId="0" fontId="1" fillId="2" borderId="21" xfId="1" applyFill="1" applyBorder="1" applyAlignment="1">
      <alignment horizontal="center" vertical="center"/>
    </xf>
    <xf numFmtId="0" fontId="15" fillId="2" borderId="0" xfId="1" applyFont="1" applyFill="1" applyAlignment="1">
      <alignment vertical="center"/>
    </xf>
    <xf numFmtId="0" fontId="20" fillId="2" borderId="7" xfId="1" applyFont="1" applyFill="1" applyBorder="1" applyAlignment="1">
      <alignment vertical="center"/>
    </xf>
    <xf numFmtId="0" fontId="20" fillId="2" borderId="0" xfId="1" applyFont="1" applyFill="1" applyAlignment="1">
      <alignment vertical="center"/>
    </xf>
    <xf numFmtId="0" fontId="20" fillId="2" borderId="25" xfId="1" applyFont="1" applyFill="1" applyBorder="1" applyAlignment="1">
      <alignment horizontal="center" vertical="center"/>
    </xf>
    <xf numFmtId="0" fontId="20" fillId="2" borderId="0" xfId="1" applyFont="1" applyFill="1" applyAlignment="1">
      <alignment horizontal="center" vertical="center"/>
    </xf>
    <xf numFmtId="0" fontId="20" fillId="2" borderId="26" xfId="1" applyFont="1" applyFill="1" applyBorder="1" applyAlignment="1">
      <alignment horizontal="center" vertical="center"/>
    </xf>
    <xf numFmtId="9" fontId="20" fillId="2" borderId="0" xfId="3" applyFont="1" applyFill="1" applyBorder="1" applyAlignment="1">
      <alignment horizontal="center" vertical="center"/>
    </xf>
    <xf numFmtId="0" fontId="20" fillId="2" borderId="4" xfId="1" applyFont="1" applyFill="1" applyBorder="1" applyAlignment="1">
      <alignment vertical="center"/>
    </xf>
    <xf numFmtId="0" fontId="20" fillId="2" borderId="3" xfId="1" applyFont="1" applyFill="1" applyBorder="1" applyAlignment="1">
      <alignment horizontal="center" vertical="center"/>
    </xf>
    <xf numFmtId="0" fontId="18" fillId="2" borderId="3" xfId="1" applyFont="1" applyFill="1" applyBorder="1" applyAlignment="1">
      <alignment horizontal="center" vertical="center"/>
    </xf>
    <xf numFmtId="0" fontId="18" fillId="2" borderId="0" xfId="1" applyFont="1" applyFill="1" applyAlignment="1">
      <alignment vertical="center"/>
    </xf>
    <xf numFmtId="0" fontId="18" fillId="2" borderId="0" xfId="1" applyFont="1" applyFill="1" applyAlignment="1">
      <alignment horizontal="center" vertical="center"/>
    </xf>
    <xf numFmtId="0" fontId="20" fillId="2" borderId="6" xfId="1" applyFont="1" applyFill="1" applyBorder="1" applyAlignment="1">
      <alignment horizontal="center" vertical="center"/>
    </xf>
    <xf numFmtId="0" fontId="20" fillId="2" borderId="4" xfId="1" applyFont="1" applyFill="1" applyBorder="1" applyAlignment="1">
      <alignment horizontal="center" vertical="center"/>
    </xf>
    <xf numFmtId="0" fontId="20" fillId="2" borderId="21" xfId="1" applyFont="1" applyFill="1" applyBorder="1" applyAlignment="1">
      <alignment vertical="center"/>
    </xf>
    <xf numFmtId="0" fontId="23" fillId="2" borderId="13" xfId="1" applyFont="1" applyFill="1" applyBorder="1" applyAlignment="1">
      <alignment horizontal="center" vertical="center"/>
    </xf>
    <xf numFmtId="0" fontId="19" fillId="2" borderId="9" xfId="1" applyFont="1" applyFill="1" applyBorder="1" applyAlignment="1">
      <alignment vertical="center"/>
    </xf>
    <xf numFmtId="0" fontId="15" fillId="0" borderId="9" xfId="1" applyFont="1" applyBorder="1" applyAlignment="1">
      <alignment horizontal="center"/>
    </xf>
    <xf numFmtId="49" fontId="28" fillId="0" borderId="9" xfId="1" applyNumberFormat="1" applyFont="1" applyBorder="1" applyAlignment="1">
      <alignment horizontal="center" vertical="center"/>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4" xfId="1" applyFont="1" applyBorder="1" applyAlignment="1">
      <alignment horizontal="left" vertical="center" wrapText="1"/>
    </xf>
    <xf numFmtId="2" fontId="3" fillId="3" borderId="27" xfId="1" applyNumberFormat="1" applyFont="1" applyFill="1" applyBorder="1"/>
    <xf numFmtId="2" fontId="3" fillId="3" borderId="0" xfId="1" applyNumberFormat="1" applyFont="1" applyFill="1"/>
    <xf numFmtId="2" fontId="3" fillId="3" borderId="0" xfId="1" applyNumberFormat="1" applyFont="1" applyFill="1" applyAlignment="1">
      <alignment horizontal="center" vertical="center"/>
    </xf>
    <xf numFmtId="2" fontId="3" fillId="0" borderId="16" xfId="1" applyNumberFormat="1" applyFont="1" applyBorder="1" applyAlignment="1">
      <alignment horizontal="center" vertical="center"/>
    </xf>
    <xf numFmtId="0" fontId="2" fillId="3" borderId="9" xfId="1" applyFont="1" applyFill="1" applyBorder="1" applyAlignment="1">
      <alignment horizontal="center" vertical="center"/>
    </xf>
    <xf numFmtId="0" fontId="15" fillId="0" borderId="0" xfId="1" applyFont="1" applyAlignment="1">
      <alignment horizontal="center" vertical="center"/>
    </xf>
    <xf numFmtId="0" fontId="19" fillId="2" borderId="9" xfId="0" applyFont="1" applyFill="1" applyBorder="1" applyAlignment="1">
      <alignment horizontal="center" vertical="center"/>
    </xf>
    <xf numFmtId="0" fontId="19" fillId="2" borderId="9" xfId="0" applyFont="1" applyFill="1" applyBorder="1" applyAlignment="1">
      <alignment horizontal="center" vertical="center" wrapText="1"/>
    </xf>
    <xf numFmtId="0" fontId="0" fillId="0" borderId="9" xfId="0" applyBorder="1" applyAlignment="1">
      <alignment horizontal="center" vertical="center"/>
    </xf>
    <xf numFmtId="0" fontId="12" fillId="0" borderId="3" xfId="1" applyFont="1" applyBorder="1" applyAlignment="1">
      <alignment horizontal="center" vertical="center"/>
    </xf>
    <xf numFmtId="0" fontId="12" fillId="0" borderId="4" xfId="1" applyFont="1" applyBorder="1" applyAlignment="1">
      <alignment horizontal="center" vertical="center"/>
    </xf>
    <xf numFmtId="0" fontId="12" fillId="0" borderId="5" xfId="1" applyFont="1" applyBorder="1" applyAlignment="1">
      <alignment horizontal="center" vertical="center"/>
    </xf>
    <xf numFmtId="0" fontId="12" fillId="0" borderId="11" xfId="1" applyFont="1" applyBorder="1" applyAlignment="1">
      <alignment horizontal="center" vertical="center"/>
    </xf>
    <xf numFmtId="0" fontId="12" fillId="0" borderId="7" xfId="1" applyFont="1" applyBorder="1" applyAlignment="1">
      <alignment horizontal="center" vertical="center"/>
    </xf>
    <xf numFmtId="0" fontId="12" fillId="0" borderId="12" xfId="1" applyFont="1" applyBorder="1" applyAlignment="1">
      <alignment horizontal="center" vertical="center"/>
    </xf>
    <xf numFmtId="0" fontId="13" fillId="0" borderId="6" xfId="1" applyFont="1" applyBorder="1" applyAlignment="1">
      <alignment horizontal="justify" vertical="top" wrapText="1"/>
    </xf>
    <xf numFmtId="0" fontId="13" fillId="0" borderId="0" xfId="1" applyFont="1" applyAlignment="1">
      <alignment horizontal="justify" vertical="top" wrapText="1"/>
    </xf>
    <xf numFmtId="0" fontId="13" fillId="0" borderId="10" xfId="1" applyFont="1" applyBorder="1" applyAlignment="1">
      <alignment horizontal="justify" vertical="top" wrapText="1"/>
    </xf>
    <xf numFmtId="0" fontId="13" fillId="0" borderId="11" xfId="1" applyFont="1" applyBorder="1" applyAlignment="1">
      <alignment horizontal="justify" vertical="top" wrapText="1"/>
    </xf>
    <xf numFmtId="0" fontId="13" fillId="0" borderId="7" xfId="1" applyFont="1" applyBorder="1" applyAlignment="1">
      <alignment horizontal="justify" vertical="top" wrapText="1"/>
    </xf>
    <xf numFmtId="0" fontId="13" fillId="0" borderId="12" xfId="1" applyFont="1" applyBorder="1" applyAlignment="1">
      <alignment horizontal="justify" vertical="top" wrapText="1"/>
    </xf>
    <xf numFmtId="0" fontId="1" fillId="0" borderId="28" xfId="1" applyBorder="1" applyAlignment="1">
      <alignment horizontal="center"/>
    </xf>
    <xf numFmtId="0" fontId="1" fillId="0" borderId="29" xfId="1" applyBorder="1" applyAlignment="1">
      <alignment horizontal="center"/>
    </xf>
    <xf numFmtId="0" fontId="1" fillId="0" borderId="30" xfId="1" applyBorder="1" applyAlignment="1">
      <alignment horizontal="center"/>
    </xf>
    <xf numFmtId="0" fontId="1" fillId="0" borderId="9" xfId="1" applyBorder="1" applyAlignment="1">
      <alignment horizontal="center"/>
    </xf>
    <xf numFmtId="0" fontId="2" fillId="0" borderId="31" xfId="1" applyFont="1" applyBorder="1" applyAlignment="1">
      <alignment horizontal="center" vertical="center" wrapText="1"/>
    </xf>
    <xf numFmtId="0" fontId="2" fillId="0" borderId="16" xfId="1" applyFont="1" applyBorder="1" applyAlignment="1">
      <alignment horizontal="center" vertical="center" wrapText="1"/>
    </xf>
    <xf numFmtId="0" fontId="2" fillId="0" borderId="11" xfId="1" applyFont="1" applyBorder="1" applyAlignment="1">
      <alignment horizontal="center" vertical="center" wrapText="1"/>
    </xf>
    <xf numFmtId="0" fontId="2" fillId="0" borderId="7" xfId="1" applyFont="1" applyBorder="1" applyAlignment="1">
      <alignment horizontal="center" vertical="center" wrapText="1"/>
    </xf>
    <xf numFmtId="0" fontId="3" fillId="0" borderId="32"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7" xfId="1" applyFont="1" applyBorder="1" applyAlignment="1">
      <alignment horizontal="center" vertical="center" wrapText="1"/>
    </xf>
    <xf numFmtId="0" fontId="5" fillId="0" borderId="12" xfId="1" applyFont="1" applyBorder="1" applyAlignment="1">
      <alignment horizontal="center" vertical="center" wrapText="1"/>
    </xf>
    <xf numFmtId="0" fontId="7" fillId="5" borderId="33" xfId="1" applyFont="1" applyFill="1" applyBorder="1" applyAlignment="1">
      <alignment horizontal="left" vertical="top" wrapText="1"/>
    </xf>
    <xf numFmtId="0" fontId="7" fillId="5" borderId="34" xfId="1" applyFont="1" applyFill="1" applyBorder="1" applyAlignment="1">
      <alignment horizontal="left" vertical="top" wrapText="1"/>
    </xf>
    <xf numFmtId="0" fontId="7" fillId="5" borderId="35" xfId="1" applyFont="1" applyFill="1" applyBorder="1" applyAlignment="1">
      <alignment horizontal="left" vertical="top" wrapText="1"/>
    </xf>
    <xf numFmtId="0" fontId="18" fillId="0" borderId="8" xfId="1" applyFont="1" applyBorder="1" applyAlignment="1">
      <alignment horizontal="center" vertical="center"/>
    </xf>
    <xf numFmtId="0" fontId="18" fillId="0" borderId="11" xfId="1" applyFont="1" applyBorder="1" applyAlignment="1">
      <alignment horizontal="center" vertical="center" wrapText="1"/>
    </xf>
    <xf numFmtId="0" fontId="1" fillId="0" borderId="12" xfId="1" applyBorder="1" applyAlignment="1">
      <alignment horizontal="center" vertical="center"/>
    </xf>
    <xf numFmtId="0" fontId="18" fillId="0" borderId="11" xfId="1" applyFont="1" applyBorder="1" applyAlignment="1">
      <alignment horizontal="center" vertical="center"/>
    </xf>
    <xf numFmtId="0" fontId="1" fillId="0" borderId="12" xfId="1" applyBorder="1" applyAlignment="1">
      <alignment vertical="center"/>
    </xf>
    <xf numFmtId="0" fontId="18" fillId="0" borderId="7" xfId="1" applyFont="1" applyBorder="1" applyAlignment="1">
      <alignment horizontal="center" vertical="center"/>
    </xf>
    <xf numFmtId="0" fontId="18" fillId="0" borderId="12" xfId="1" applyFont="1" applyBorder="1" applyAlignment="1">
      <alignment horizontal="center" vertical="center"/>
    </xf>
    <xf numFmtId="0" fontId="1" fillId="0" borderId="9" xfId="0" applyFont="1" applyBorder="1" applyAlignment="1">
      <alignment horizontal="center" vertical="top"/>
    </xf>
    <xf numFmtId="0" fontId="1" fillId="0" borderId="13" xfId="0" applyFont="1" applyBorder="1" applyAlignment="1">
      <alignment horizontal="center" vertical="top"/>
    </xf>
    <xf numFmtId="0" fontId="0" fillId="0" borderId="14" xfId="0" applyBorder="1" applyAlignment="1">
      <alignment horizontal="center" vertical="top"/>
    </xf>
    <xf numFmtId="0" fontId="1" fillId="0" borderId="13" xfId="1" applyBorder="1" applyAlignment="1">
      <alignment horizontal="center" vertical="top"/>
    </xf>
    <xf numFmtId="0" fontId="1" fillId="0" borderId="15" xfId="1" applyBorder="1"/>
    <xf numFmtId="0" fontId="1" fillId="0" borderId="14" xfId="1" applyBorder="1"/>
    <xf numFmtId="0" fontId="6" fillId="0" borderId="0" xfId="1" applyFont="1" applyAlignment="1">
      <alignment horizontal="center"/>
    </xf>
    <xf numFmtId="0" fontId="16" fillId="0" borderId="0" xfId="1" applyFont="1" applyAlignment="1">
      <alignment horizontal="left"/>
    </xf>
    <xf numFmtId="0" fontId="1" fillId="0" borderId="0" xfId="1" applyAlignment="1">
      <alignment horizontal="left"/>
    </xf>
    <xf numFmtId="0" fontId="6" fillId="0" borderId="3" xfId="1" applyFont="1" applyBorder="1" applyAlignment="1">
      <alignment horizontal="left" vertical="center"/>
    </xf>
    <xf numFmtId="0" fontId="1" fillId="0" borderId="4" xfId="1" applyBorder="1"/>
    <xf numFmtId="0" fontId="1" fillId="0" borderId="9" xfId="1" applyBorder="1" applyAlignment="1">
      <alignment horizontal="center" vertical="top"/>
    </xf>
    <xf numFmtId="0" fontId="1" fillId="0" borderId="14" xfId="1" applyBorder="1" applyAlignment="1">
      <alignment horizontal="center" vertical="top"/>
    </xf>
    <xf numFmtId="0" fontId="1" fillId="0" borderId="15" xfId="1" applyBorder="1" applyAlignment="1">
      <alignment horizontal="center" vertical="top"/>
    </xf>
    <xf numFmtId="0" fontId="1" fillId="0" borderId="4" xfId="1" applyBorder="1" applyAlignment="1">
      <alignment horizontal="center" vertical="top"/>
    </xf>
    <xf numFmtId="0" fontId="1" fillId="0" borderId="5" xfId="1" applyBorder="1" applyAlignment="1">
      <alignment vertical="top"/>
    </xf>
    <xf numFmtId="0" fontId="1" fillId="0" borderId="0" xfId="1" applyAlignment="1">
      <alignment horizontal="center" vertical="center"/>
    </xf>
    <xf numFmtId="0" fontId="1" fillId="0" borderId="6" xfId="1" applyBorder="1" applyAlignment="1">
      <alignment horizontal="left"/>
    </xf>
    <xf numFmtId="0" fontId="1" fillId="0" borderId="6" xfId="1" applyBorder="1" applyAlignment="1">
      <alignment horizontal="left" wrapText="1"/>
    </xf>
    <xf numFmtId="0" fontId="1" fillId="0" borderId="7" xfId="1" applyBorder="1" applyAlignment="1">
      <alignment horizontal="center" vertical="top"/>
    </xf>
    <xf numFmtId="0" fontId="1" fillId="0" borderId="0" xfId="1"/>
    <xf numFmtId="2" fontId="1" fillId="0" borderId="0" xfId="1" applyNumberFormat="1" applyAlignment="1">
      <alignment horizontal="center"/>
    </xf>
    <xf numFmtId="0" fontId="1" fillId="0" borderId="0" xfId="1" applyAlignment="1">
      <alignment horizontal="center"/>
    </xf>
    <xf numFmtId="0" fontId="1" fillId="0" borderId="7" xfId="1" applyBorder="1" applyAlignment="1">
      <alignment horizontal="center"/>
    </xf>
    <xf numFmtId="0" fontId="1" fillId="0" borderId="15" xfId="1" applyBorder="1" applyAlignment="1">
      <alignment horizontal="center"/>
    </xf>
    <xf numFmtId="0" fontId="11" fillId="0" borderId="13" xfId="1" applyFont="1" applyBorder="1" applyAlignment="1">
      <alignment horizontal="center" vertical="center" wrapText="1"/>
    </xf>
    <xf numFmtId="0" fontId="11" fillId="0" borderId="14" xfId="1" applyFont="1" applyBorder="1" applyAlignment="1">
      <alignment horizontal="center" vertical="center" wrapText="1"/>
    </xf>
    <xf numFmtId="0" fontId="1" fillId="0" borderId="36" xfId="1" applyBorder="1" applyAlignment="1">
      <alignment horizontal="center"/>
    </xf>
    <xf numFmtId="0" fontId="1" fillId="0" borderId="16" xfId="1" applyBorder="1" applyAlignment="1">
      <alignment horizontal="center"/>
    </xf>
    <xf numFmtId="0" fontId="1" fillId="0" borderId="37" xfId="1" applyBorder="1" applyAlignment="1">
      <alignment horizontal="center"/>
    </xf>
    <xf numFmtId="0" fontId="1" fillId="0" borderId="38" xfId="1" applyBorder="1" applyAlignment="1">
      <alignment horizontal="center"/>
    </xf>
    <xf numFmtId="0" fontId="1" fillId="0" borderId="12" xfId="1" applyBorder="1" applyAlignment="1">
      <alignment horizontal="center"/>
    </xf>
    <xf numFmtId="0" fontId="2" fillId="0" borderId="37" xfId="1" applyFont="1" applyBorder="1" applyAlignment="1">
      <alignment horizontal="center" vertical="center" wrapText="1"/>
    </xf>
    <xf numFmtId="0" fontId="2" fillId="0" borderId="12" xfId="1" applyFont="1" applyBorder="1" applyAlignment="1">
      <alignment horizontal="center" vertical="center" wrapText="1"/>
    </xf>
    <xf numFmtId="0" fontId="4" fillId="0" borderId="32" xfId="1" applyFont="1" applyBorder="1" applyAlignment="1">
      <alignment horizontal="center" vertical="center" wrapText="1"/>
    </xf>
    <xf numFmtId="0" fontId="4" fillId="0" borderId="15" xfId="1" applyFont="1" applyBorder="1" applyAlignment="1">
      <alignment horizontal="center" vertical="center" wrapText="1"/>
    </xf>
    <xf numFmtId="0" fontId="4" fillId="0" borderId="14" xfId="1" applyFont="1" applyBorder="1" applyAlignment="1">
      <alignment horizontal="center" vertical="center" wrapText="1"/>
    </xf>
    <xf numFmtId="0" fontId="7" fillId="5" borderId="39" xfId="1" applyFont="1" applyFill="1" applyBorder="1" applyAlignment="1">
      <alignment horizontal="left" vertical="center" wrapText="1"/>
    </xf>
    <xf numFmtId="0" fontId="7" fillId="5" borderId="27" xfId="1" applyFont="1" applyFill="1" applyBorder="1" applyAlignment="1">
      <alignment horizontal="left" vertical="center" wrapText="1"/>
    </xf>
    <xf numFmtId="0" fontId="7" fillId="5" borderId="40" xfId="1" applyFont="1" applyFill="1" applyBorder="1" applyAlignment="1">
      <alignment horizontal="left" vertical="center" wrapText="1"/>
    </xf>
    <xf numFmtId="0" fontId="19" fillId="0" borderId="9" xfId="1" applyFont="1" applyBorder="1" applyAlignment="1">
      <alignment horizontal="center" vertical="center" wrapText="1"/>
    </xf>
    <xf numFmtId="0" fontId="1" fillId="0" borderId="3" xfId="1" applyBorder="1"/>
    <xf numFmtId="0" fontId="1" fillId="0" borderId="5" xfId="1" applyBorder="1"/>
    <xf numFmtId="0" fontId="1" fillId="0" borderId="11" xfId="1" applyBorder="1"/>
    <xf numFmtId="0" fontId="1" fillId="0" borderId="7" xfId="1" applyBorder="1"/>
    <xf numFmtId="0" fontId="1" fillId="0" borderId="12" xfId="1" applyBorder="1"/>
    <xf numFmtId="0" fontId="1" fillId="0" borderId="26" xfId="1" applyBorder="1" applyAlignment="1">
      <alignment horizontal="center" vertical="center" wrapText="1"/>
    </xf>
    <xf numFmtId="0" fontId="1" fillId="0" borderId="8" xfId="1" applyBorder="1" applyAlignment="1">
      <alignment horizontal="center" vertical="center" wrapText="1"/>
    </xf>
    <xf numFmtId="0" fontId="18" fillId="0" borderId="13" xfId="1" applyFont="1" applyBorder="1" applyAlignment="1">
      <alignment horizontal="center" vertical="center" wrapText="1"/>
    </xf>
    <xf numFmtId="0" fontId="18" fillId="0" borderId="15" xfId="1" applyFont="1" applyBorder="1" applyAlignment="1">
      <alignment horizontal="center" vertical="center" wrapText="1"/>
    </xf>
    <xf numFmtId="0" fontId="18" fillId="0" borderId="14" xfId="1" applyFont="1" applyBorder="1" applyAlignment="1">
      <alignment horizontal="center" vertical="center" wrapText="1"/>
    </xf>
    <xf numFmtId="0" fontId="1" fillId="0" borderId="26" xfId="1" applyBorder="1" applyAlignment="1">
      <alignment horizontal="center" vertical="center"/>
    </xf>
    <xf numFmtId="0" fontId="1" fillId="0" borderId="8" xfId="1" applyBorder="1" applyAlignment="1">
      <alignment horizontal="center" vertical="center"/>
    </xf>
    <xf numFmtId="0" fontId="19" fillId="0" borderId="13" xfId="1" applyFont="1" applyBorder="1" applyAlignment="1">
      <alignment vertical="center" wrapText="1"/>
    </xf>
    <xf numFmtId="0" fontId="19" fillId="0" borderId="15" xfId="1" applyFont="1" applyBorder="1" applyAlignment="1">
      <alignment vertical="center" wrapText="1"/>
    </xf>
    <xf numFmtId="0" fontId="19" fillId="0" borderId="14" xfId="1" applyFont="1" applyBorder="1" applyAlignment="1">
      <alignment vertical="center" wrapText="1"/>
    </xf>
    <xf numFmtId="0" fontId="19" fillId="0" borderId="13" xfId="1" applyFont="1" applyBorder="1" applyAlignment="1">
      <alignment horizontal="center" vertical="center"/>
    </xf>
    <xf numFmtId="0" fontId="19" fillId="0" borderId="15" xfId="1" applyFont="1" applyBorder="1" applyAlignment="1">
      <alignment horizontal="center" vertical="center"/>
    </xf>
    <xf numFmtId="0" fontId="19" fillId="0" borderId="14" xfId="1" applyFont="1" applyBorder="1" applyAlignment="1">
      <alignment horizontal="center" vertical="center"/>
    </xf>
    <xf numFmtId="0" fontId="19" fillId="0" borderId="13"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14" xfId="1" applyFont="1" applyBorder="1" applyAlignment="1">
      <alignment horizontal="center" vertical="center" wrapText="1"/>
    </xf>
    <xf numFmtId="0" fontId="11" fillId="2" borderId="26" xfId="1" applyFont="1" applyFill="1" applyBorder="1" applyAlignment="1">
      <alignment horizontal="center" vertical="center"/>
    </xf>
    <xf numFmtId="0" fontId="11" fillId="2" borderId="8" xfId="1" applyFont="1" applyFill="1" applyBorder="1" applyAlignment="1">
      <alignment horizontal="center" vertical="center"/>
    </xf>
    <xf numFmtId="0" fontId="11" fillId="0" borderId="9" xfId="1" applyFont="1" applyBorder="1" applyAlignment="1">
      <alignment horizontal="center" vertical="center" wrapText="1"/>
    </xf>
    <xf numFmtId="0" fontId="1" fillId="0" borderId="9" xfId="1" applyBorder="1" applyAlignment="1">
      <alignment horizontal="center" vertical="center"/>
    </xf>
    <xf numFmtId="0" fontId="1" fillId="0" borderId="41" xfId="1" applyBorder="1"/>
    <xf numFmtId="0" fontId="1" fillId="0" borderId="42" xfId="1" applyBorder="1"/>
    <xf numFmtId="0" fontId="18" fillId="0" borderId="9" xfId="1" applyFont="1" applyBorder="1" applyAlignment="1">
      <alignment horizontal="center" vertical="center" wrapText="1"/>
    </xf>
    <xf numFmtId="0" fontId="19" fillId="0" borderId="13" xfId="1" applyFont="1" applyBorder="1" applyAlignment="1">
      <alignment horizontal="center" vertical="top" wrapText="1"/>
    </xf>
    <xf numFmtId="0" fontId="19" fillId="0" borderId="15" xfId="1" applyFont="1" applyBorder="1" applyAlignment="1">
      <alignment horizontal="center" vertical="top" wrapText="1"/>
    </xf>
    <xf numFmtId="0" fontId="19" fillId="0" borderId="14" xfId="1" applyFont="1" applyBorder="1" applyAlignment="1">
      <alignment horizontal="center" vertical="top" wrapText="1"/>
    </xf>
    <xf numFmtId="0" fontId="19" fillId="2" borderId="13" xfId="1" applyFont="1" applyFill="1" applyBorder="1" applyAlignment="1">
      <alignment horizontal="center" vertical="center"/>
    </xf>
    <xf numFmtId="0" fontId="19" fillId="2" borderId="15" xfId="1" applyFont="1" applyFill="1" applyBorder="1" applyAlignment="1">
      <alignment horizontal="center" vertical="center"/>
    </xf>
    <xf numFmtId="0" fontId="19" fillId="2" borderId="14" xfId="1" applyFont="1" applyFill="1" applyBorder="1" applyAlignment="1">
      <alignment horizontal="center" vertical="center"/>
    </xf>
    <xf numFmtId="0" fontId="19" fillId="0" borderId="9" xfId="2" applyFont="1" applyBorder="1" applyAlignment="1" applyProtection="1">
      <alignment horizontal="center" vertical="center" wrapText="1"/>
    </xf>
    <xf numFmtId="0" fontId="6" fillId="0" borderId="41" xfId="1" applyFont="1" applyBorder="1" applyAlignment="1">
      <alignment horizontal="center" vertical="center" wrapText="1"/>
    </xf>
    <xf numFmtId="0" fontId="6" fillId="0" borderId="42" xfId="1" applyFont="1" applyBorder="1" applyAlignment="1">
      <alignment horizontal="center" vertical="center" wrapText="1"/>
    </xf>
    <xf numFmtId="0" fontId="19" fillId="0" borderId="0" xfId="1" applyFont="1" applyAlignment="1">
      <alignment horizontal="left"/>
    </xf>
    <xf numFmtId="0" fontId="18" fillId="0" borderId="12" xfId="1" applyFont="1" applyBorder="1" applyAlignment="1">
      <alignment horizontal="center" vertical="center" wrapText="1"/>
    </xf>
    <xf numFmtId="0" fontId="1" fillId="0" borderId="5" xfId="1" applyBorder="1" applyAlignment="1">
      <alignment horizontal="center" vertical="top"/>
    </xf>
    <xf numFmtId="0" fontId="1" fillId="0" borderId="13" xfId="1" applyBorder="1" applyAlignment="1">
      <alignment horizontal="center" vertical="top" wrapText="1"/>
    </xf>
    <xf numFmtId="0" fontId="1" fillId="0" borderId="14" xfId="1" applyBorder="1" applyAlignment="1">
      <alignment horizontal="center" vertical="top" wrapText="1"/>
    </xf>
    <xf numFmtId="0" fontId="1" fillId="0" borderId="9" xfId="1" applyBorder="1" applyAlignment="1">
      <alignment horizontal="center" vertical="center" wrapText="1"/>
    </xf>
    <xf numFmtId="0" fontId="1" fillId="0" borderId="13" xfId="1" applyBorder="1" applyAlignment="1">
      <alignment horizontal="center" vertical="center"/>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4" xfId="1" applyFont="1" applyBorder="1" applyAlignment="1">
      <alignment horizontal="left" vertical="center" wrapText="1"/>
    </xf>
    <xf numFmtId="0" fontId="2" fillId="3" borderId="9" xfId="1" applyFont="1" applyFill="1" applyBorder="1" applyAlignment="1">
      <alignment horizontal="left"/>
    </xf>
  </cellXfs>
  <cellStyles count="4">
    <cellStyle name="Hyperlink" xfId="2" builtinId="8"/>
    <cellStyle name="Normal" xfId="0" builtinId="0"/>
    <cellStyle name="Normal 2" xfId="1" xr:uid="{00000000-0005-0000-0000-000006000000}"/>
    <cellStyle name="Percent 2" xfId="3" xr:uid="{00000000-0005-0000-0000-000008000000}"/>
  </cellStyles>
  <dxfs count="85">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a:pPr>
            <a:r>
              <a:rPr lang="en-US" sz="1400" b="1" i="0" u="none" baseline="0">
                <a:solidFill>
                  <a:schemeClr val="tx1">
                    <a:lumMod val="65000"/>
                    <a:lumOff val="35000"/>
                  </a:schemeClr>
                </a:solidFill>
                <a:latin typeface="+mn-lt"/>
                <a:ea typeface="+mn-ea"/>
                <a:cs typeface="+mn-cs"/>
              </a:rPr>
              <a:t>Design Input</a:t>
            </a:r>
          </a:p>
        </c:rich>
      </c:tx>
      <c:overlay val="0"/>
      <c:spPr>
        <a:noFill/>
        <a:ln w="6350">
          <a:noFill/>
        </a:ln>
        <a:effectLst/>
      </c:spPr>
    </c:title>
    <c:autoTitleDeleted val="0"/>
    <c:plotArea>
      <c:layout/>
      <c:pieChart>
        <c:varyColors val="1"/>
        <c:ser>
          <c:idx val="0"/>
          <c:order val="0"/>
          <c:tx>
            <c:strRef>
              <c:f>'Status Summary pg.3'!$E$5</c:f>
              <c:strCache>
                <c:ptCount val="1"/>
                <c:pt idx="0">
                  <c:v>Design Input %</c:v>
                </c:pt>
              </c:strCache>
            </c:strRef>
          </c:tx>
          <c:dPt>
            <c:idx val="0"/>
            <c:bubble3D val="0"/>
            <c:spPr>
              <a:solidFill>
                <a:srgbClr val="00B050"/>
              </a:solidFill>
              <a:ln w="19050" cap="flat" cmpd="sng">
                <a:solidFill>
                  <a:schemeClr val="bg1"/>
                </a:solidFill>
              </a:ln>
              <a:effectLst/>
            </c:spPr>
            <c:extLst>
              <c:ext xmlns:c16="http://schemas.microsoft.com/office/drawing/2014/chart" uri="{C3380CC4-5D6E-409C-BE32-E72D297353CC}">
                <c16:uniqueId val="{00000001-C3E2-43B8-AEDA-D7CF47FE33A0}"/>
              </c:ext>
            </c:extLst>
          </c:dPt>
          <c:dPt>
            <c:idx val="1"/>
            <c:bubble3D val="0"/>
            <c:spPr>
              <a:solidFill>
                <a:srgbClr val="FF0000"/>
              </a:solidFill>
              <a:ln w="19050" cap="flat" cmpd="sng">
                <a:solidFill>
                  <a:schemeClr val="bg1"/>
                </a:solidFill>
              </a:ln>
              <a:effectLst/>
            </c:spPr>
            <c:extLst>
              <c:ext xmlns:c16="http://schemas.microsoft.com/office/drawing/2014/chart" uri="{C3380CC4-5D6E-409C-BE32-E72D297353CC}">
                <c16:uniqueId val="{00000003-C3E2-43B8-AEDA-D7CF47FE33A0}"/>
              </c:ext>
            </c:extLst>
          </c:dPt>
          <c:dPt>
            <c:idx val="2"/>
            <c:bubble3D val="0"/>
            <c:spPr>
              <a:solidFill>
                <a:srgbClr val="FFFF00"/>
              </a:solidFill>
              <a:ln w="19050" cap="flat" cmpd="sng">
                <a:solidFill>
                  <a:schemeClr val="bg1"/>
                </a:solidFill>
              </a:ln>
              <a:effectLst/>
            </c:spPr>
            <c:extLst>
              <c:ext xmlns:c16="http://schemas.microsoft.com/office/drawing/2014/chart" uri="{C3380CC4-5D6E-409C-BE32-E72D297353CC}">
                <c16:uniqueId val="{00000005-C3E2-43B8-AEDA-D7CF47FE33A0}"/>
              </c:ext>
            </c:extLst>
          </c:dPt>
          <c:dPt>
            <c:idx val="3"/>
            <c:bubble3D val="0"/>
            <c:spPr>
              <a:solidFill>
                <a:schemeClr val="accent4"/>
              </a:solidFill>
              <a:ln w="19050" cap="flat" cmpd="sng">
                <a:solidFill>
                  <a:schemeClr val="bg1"/>
                </a:solidFill>
              </a:ln>
              <a:effectLst/>
            </c:spPr>
            <c:extLst>
              <c:ext xmlns:c16="http://schemas.microsoft.com/office/drawing/2014/chart" uri="{C3380CC4-5D6E-409C-BE32-E72D297353CC}">
                <c16:uniqueId val="{00000007-C3E2-43B8-AEDA-D7CF47FE33A0}"/>
              </c:ext>
            </c:extLst>
          </c:dPt>
          <c:dLbls>
            <c:spPr>
              <a:noFill/>
              <a:ln w="6350">
                <a:noFill/>
              </a:ln>
              <a:effectLst/>
            </c:spPr>
            <c:txPr>
              <a:bodyPr rot="0" spcFirstLastPara="1" vertOverflow="ellipsis" vert="horz" wrap="square" lIns="38100" tIns="19050" rIns="38100" bIns="19050" anchor="ctr" anchorCtr="1">
                <a:spAutoFit/>
              </a:bodyPr>
              <a:lstStyle/>
              <a:p>
                <a:pPr algn="ctr">
                  <a:defRPr lang="en-US" sz="1200" b="0" i="0" u="non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pg.3'!$E$6:$E$8</c:f>
              <c:numCache>
                <c:formatCode>0%</c:formatCode>
                <c:ptCount val="3"/>
                <c:pt idx="0">
                  <c:v>0.92079207920792083</c:v>
                </c:pt>
                <c:pt idx="1">
                  <c:v>0</c:v>
                </c:pt>
                <c:pt idx="2">
                  <c:v>7.9207920792079209E-2</c:v>
                </c:pt>
              </c:numCache>
            </c:numRef>
          </c:val>
          <c:extLst>
            <c:ext xmlns:c16="http://schemas.microsoft.com/office/drawing/2014/chart" uri="{C3380CC4-5D6E-409C-BE32-E72D297353CC}">
              <c16:uniqueId val="{00000008-DA35-46E2-81B3-93C5ECD83C12}"/>
            </c:ext>
          </c:extLst>
        </c:ser>
        <c:dLbls>
          <c:showLegendKey val="0"/>
          <c:showVal val="0"/>
          <c:showCatName val="0"/>
          <c:showSerName val="0"/>
          <c:showPercent val="1"/>
          <c:showBubbleSize val="0"/>
          <c:showLeaderLines val="1"/>
        </c:dLbls>
        <c:firstSliceAng val="0"/>
      </c:pieChart>
      <c:spPr>
        <a:noFill/>
        <a:ln w="6350">
          <a:noFill/>
        </a:ln>
        <a:effectLst/>
      </c:spPr>
    </c:plotArea>
    <c:legend>
      <c:legendPos val="r"/>
      <c:layout>
        <c:manualLayout>
          <c:xMode val="edge"/>
          <c:yMode val="edge"/>
          <c:x val="0.78549999999999998"/>
          <c:y val="0.42799999999999999"/>
          <c:w val="0.12625"/>
          <c:h val="0.25524999999999998"/>
        </c:manualLayout>
      </c:layout>
      <c:overlay val="0"/>
      <c:spPr>
        <a:noFill/>
        <a:ln w="6350">
          <a:noFill/>
        </a:ln>
        <a:effectLst/>
      </c:spPr>
      <c:txPr>
        <a:bodyPr rot="0" spcFirstLastPara="1" vertOverflow="ellipsis" vert="horz" wrap="square" anchor="ctr" anchorCtr="1"/>
        <a:lstStyle/>
        <a:p>
          <a:pPr algn="ctr">
            <a:defRPr lang="en-US" sz="900" b="0" i="0" u="non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US" sz="1400" b="1" i="0" u="none" strike="noStrike" kern="1200" spc="0" baseline="0">
                <a:solidFill>
                  <a:schemeClr val="tx1">
                    <a:lumMod val="65000"/>
                    <a:lumOff val="35000"/>
                  </a:schemeClr>
                </a:solidFill>
                <a:latin typeface="+mn-lt"/>
                <a:ea typeface="+mn-ea"/>
                <a:cs typeface="+mn-cs"/>
              </a:defRPr>
            </a:pPr>
            <a:r>
              <a:rPr lang="en-US"/>
              <a:t>Manufacturing Input</a:t>
            </a:r>
          </a:p>
        </c:rich>
      </c:tx>
      <c:overlay val="0"/>
      <c:spPr>
        <a:noFill/>
        <a:ln w="6350">
          <a:noFill/>
        </a:ln>
        <a:effectLst/>
      </c:spPr>
      <c:txPr>
        <a:bodyPr rot="0" spcFirstLastPara="1" vertOverflow="ellipsis" vert="horz" wrap="square" anchor="ctr" anchorCtr="1"/>
        <a:lstStyle/>
        <a:p>
          <a:pPr algn="ctr">
            <a:defRPr lang="en-US"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'Status Summary pg.3'!$F$4:$G$4</c:f>
              <c:strCache>
                <c:ptCount val="1"/>
              </c:strCache>
            </c:strRef>
          </c:tx>
          <c:dPt>
            <c:idx val="0"/>
            <c:bubble3D val="0"/>
            <c:spPr>
              <a:solidFill>
                <a:srgbClr val="00B050"/>
              </a:solidFill>
              <a:ln w="19050" cap="flat" cmpd="sng">
                <a:solidFill>
                  <a:schemeClr val="bg1"/>
                </a:solidFill>
              </a:ln>
              <a:effectLst/>
            </c:spPr>
            <c:extLst>
              <c:ext xmlns:c16="http://schemas.microsoft.com/office/drawing/2014/chart" uri="{C3380CC4-5D6E-409C-BE32-E72D297353CC}">
                <c16:uniqueId val="{00000001-048B-4FE0-BDFF-767041238DF3}"/>
              </c:ext>
            </c:extLst>
          </c:dPt>
          <c:dPt>
            <c:idx val="1"/>
            <c:bubble3D val="0"/>
            <c:spPr>
              <a:solidFill>
                <a:srgbClr val="FF0000"/>
              </a:solidFill>
              <a:ln w="19050" cap="flat" cmpd="sng">
                <a:solidFill>
                  <a:schemeClr val="bg1"/>
                </a:solidFill>
              </a:ln>
              <a:effectLst/>
            </c:spPr>
            <c:extLst>
              <c:ext xmlns:c16="http://schemas.microsoft.com/office/drawing/2014/chart" uri="{C3380CC4-5D6E-409C-BE32-E72D297353CC}">
                <c16:uniqueId val="{00000003-048B-4FE0-BDFF-767041238DF3}"/>
              </c:ext>
            </c:extLst>
          </c:dPt>
          <c:dPt>
            <c:idx val="2"/>
            <c:bubble3D val="0"/>
            <c:spPr>
              <a:solidFill>
                <a:srgbClr val="FFFF00"/>
              </a:solidFill>
              <a:ln w="19050" cap="flat" cmpd="sng">
                <a:solidFill>
                  <a:schemeClr val="bg1"/>
                </a:solidFill>
              </a:ln>
              <a:effectLst/>
            </c:spPr>
            <c:extLst>
              <c:ext xmlns:c16="http://schemas.microsoft.com/office/drawing/2014/chart" uri="{C3380CC4-5D6E-409C-BE32-E72D297353CC}">
                <c16:uniqueId val="{00000005-048B-4FE0-BDFF-767041238DF3}"/>
              </c:ext>
            </c:extLst>
          </c:dPt>
          <c:dPt>
            <c:idx val="3"/>
            <c:bubble3D val="0"/>
            <c:spPr>
              <a:solidFill>
                <a:schemeClr val="accent4"/>
              </a:solidFill>
              <a:ln w="19050" cap="flat" cmpd="sng">
                <a:solidFill>
                  <a:schemeClr val="bg1"/>
                </a:solidFill>
              </a:ln>
              <a:effectLst/>
            </c:spPr>
            <c:extLst>
              <c:ext xmlns:c16="http://schemas.microsoft.com/office/drawing/2014/chart" uri="{C3380CC4-5D6E-409C-BE32-E72D297353CC}">
                <c16:uniqueId val="{00000007-048B-4FE0-BDFF-767041238DF3}"/>
              </c:ext>
            </c:extLst>
          </c:dPt>
          <c:dLbls>
            <c:spPr>
              <a:noFill/>
              <a:ln w="6350">
                <a:noFill/>
              </a:ln>
              <a:effectLst/>
            </c:spPr>
            <c:txPr>
              <a:bodyPr rot="0" spcFirstLastPara="1" vertOverflow="ellipsis" vert="horz" wrap="square" lIns="38100" tIns="19050" rIns="38100" bIns="19050" anchor="ctr" anchorCtr="1">
                <a:spAutoFit/>
              </a:bodyPr>
              <a:lstStyle/>
              <a:p>
                <a:pPr algn="ctr">
                  <a:defRPr lang="en-US" sz="11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pg.3'!$G$6:$G$8</c:f>
              <c:numCache>
                <c:formatCode>0%</c:formatCode>
                <c:ptCount val="3"/>
                <c:pt idx="0">
                  <c:v>0</c:v>
                </c:pt>
                <c:pt idx="1">
                  <c:v>0</c:v>
                </c:pt>
                <c:pt idx="2">
                  <c:v>1</c:v>
                </c:pt>
              </c:numCache>
            </c:numRef>
          </c:val>
          <c:extLst>
            <c:ext xmlns:c16="http://schemas.microsoft.com/office/drawing/2014/chart" uri="{C3380CC4-5D6E-409C-BE32-E72D297353CC}">
              <c16:uniqueId val="{00000008-D84A-445C-9C4F-274D3EB1520A}"/>
            </c:ext>
          </c:extLst>
        </c:ser>
        <c:dLbls>
          <c:showLegendKey val="0"/>
          <c:showVal val="0"/>
          <c:showCatName val="0"/>
          <c:showSerName val="0"/>
          <c:showPercent val="1"/>
          <c:showBubbleSize val="0"/>
          <c:showLeaderLines val="1"/>
        </c:dLbls>
        <c:firstSliceAng val="0"/>
      </c:pieChart>
      <c:spPr>
        <a:noFill/>
        <a:ln w="6350">
          <a:noFill/>
        </a:ln>
        <a:effectLst/>
      </c:spPr>
    </c:plotArea>
    <c:legend>
      <c:legendPos val="r"/>
      <c:layout>
        <c:manualLayout>
          <c:xMode val="edge"/>
          <c:yMode val="edge"/>
          <c:x val="0.78549999999999998"/>
          <c:y val="0.43325000000000002"/>
          <c:w val="0.12625"/>
          <c:h val="0.25524999999999998"/>
        </c:manualLayout>
      </c:layout>
      <c:overlay val="0"/>
      <c:spPr>
        <a:noFill/>
        <a:ln w="6350">
          <a:noFill/>
        </a:ln>
        <a:effectLst/>
      </c:spPr>
      <c:txPr>
        <a:bodyPr rot="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pt-PT" sz="1400" b="1" i="0" u="none" strike="noStrike" kern="1200" spc="0" baseline="0">
                <a:solidFill>
                  <a:schemeClr val="tx1">
                    <a:lumMod val="65000"/>
                    <a:lumOff val="35000"/>
                  </a:schemeClr>
                </a:solidFill>
                <a:latin typeface="+mn-lt"/>
                <a:ea typeface="+mn-ea"/>
                <a:cs typeface="+mn-cs"/>
              </a:defRPr>
            </a:pPr>
            <a:r>
              <a:rPr lang="pt-PT"/>
              <a:t>Status of DFM issues</a:t>
            </a:r>
          </a:p>
        </c:rich>
      </c:tx>
      <c:overlay val="0"/>
      <c:spPr>
        <a:noFill/>
        <a:ln w="6350">
          <a:noFill/>
        </a:ln>
        <a:effectLst/>
      </c:spPr>
      <c:txPr>
        <a:bodyPr rot="0" spcFirstLastPara="1" vertOverflow="ellipsis" vert="horz" wrap="square" anchor="ctr" anchorCtr="1"/>
        <a:lstStyle/>
        <a:p>
          <a:pPr algn="ctr">
            <a:defRPr lang="pt-PT"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7.3749999999999996E-2"/>
          <c:y val="0.17025000000000001"/>
          <c:w val="0.75249999999999995"/>
          <c:h val="0.74224999999999997"/>
        </c:manualLayout>
      </c:layout>
      <c:barChart>
        <c:barDir val="col"/>
        <c:grouping val="percentStacked"/>
        <c:varyColors val="0"/>
        <c:ser>
          <c:idx val="0"/>
          <c:order val="0"/>
          <c:tx>
            <c:strRef>
              <c:f>'Status Summary pg.3'!$C$6</c:f>
              <c:strCache>
                <c:ptCount val="1"/>
                <c:pt idx="0">
                  <c:v>Yes</c:v>
                </c:pt>
              </c:strCache>
            </c:strRef>
          </c:tx>
          <c:spPr>
            <a:solidFill>
              <a:srgbClr val="00B05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pg.3'!$D$6,'Status Summary pg.3'!$F$6)</c:f>
              <c:numCache>
                <c:formatCode>General</c:formatCode>
                <c:ptCount val="2"/>
                <c:pt idx="0">
                  <c:v>93</c:v>
                </c:pt>
                <c:pt idx="1">
                  <c:v>0</c:v>
                </c:pt>
              </c:numCache>
            </c:numRef>
          </c:val>
          <c:extLst>
            <c:ext xmlns:c16="http://schemas.microsoft.com/office/drawing/2014/chart" uri="{C3380CC4-5D6E-409C-BE32-E72D297353CC}">
              <c16:uniqueId val="{00000000-8955-4DBB-9377-C97F9D5141A7}"/>
            </c:ext>
          </c:extLst>
        </c:ser>
        <c:ser>
          <c:idx val="1"/>
          <c:order val="1"/>
          <c:tx>
            <c:strRef>
              <c:f>'Status Summary pg.3'!$C$7</c:f>
              <c:strCache>
                <c:ptCount val="1"/>
                <c:pt idx="0">
                  <c:v>No</c:v>
                </c:pt>
              </c:strCache>
            </c:strRef>
          </c:tx>
          <c:spPr>
            <a:solidFill>
              <a:srgbClr val="FF000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1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pg.3'!$D$7,'Status Summary pg.3'!$F$7)</c:f>
              <c:numCache>
                <c:formatCode>General</c:formatCode>
                <c:ptCount val="2"/>
                <c:pt idx="0">
                  <c:v>0</c:v>
                </c:pt>
                <c:pt idx="1">
                  <c:v>0</c:v>
                </c:pt>
              </c:numCache>
            </c:numRef>
          </c:val>
          <c:extLst>
            <c:ext xmlns:c16="http://schemas.microsoft.com/office/drawing/2014/chart" uri="{C3380CC4-5D6E-409C-BE32-E72D297353CC}">
              <c16:uniqueId val="{00000001-8955-4DBB-9377-C97F9D5141A7}"/>
            </c:ext>
          </c:extLst>
        </c:ser>
        <c:ser>
          <c:idx val="2"/>
          <c:order val="2"/>
          <c:tx>
            <c:strRef>
              <c:f>'Status Summary pg.3'!$C$8</c:f>
              <c:strCache>
                <c:ptCount val="1"/>
                <c:pt idx="0">
                  <c:v>Open</c:v>
                </c:pt>
              </c:strCache>
            </c:strRef>
          </c:tx>
          <c:spPr>
            <a:solidFill>
              <a:srgbClr val="FFFF0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pg.3'!$D$8,'Status Summary pg.3'!$F$8)</c:f>
              <c:numCache>
                <c:formatCode>General</c:formatCode>
                <c:ptCount val="2"/>
                <c:pt idx="0">
                  <c:v>8</c:v>
                </c:pt>
                <c:pt idx="1">
                  <c:v>105</c:v>
                </c:pt>
              </c:numCache>
            </c:numRef>
          </c:val>
          <c:extLst>
            <c:ext xmlns:c16="http://schemas.microsoft.com/office/drawing/2014/chart" uri="{C3380CC4-5D6E-409C-BE32-E72D297353CC}">
              <c16:uniqueId val="{00000002-8955-4DBB-9377-C97F9D5141A7}"/>
            </c:ext>
          </c:extLst>
        </c:ser>
        <c:dLbls>
          <c:showLegendKey val="0"/>
          <c:showVal val="0"/>
          <c:showCatName val="0"/>
          <c:showSerName val="0"/>
          <c:showPercent val="0"/>
          <c:showBubbleSize val="0"/>
        </c:dLbls>
        <c:gapWidth val="55"/>
        <c:overlap val="100"/>
        <c:axId val="529256338"/>
        <c:axId val="492424127"/>
      </c:barChart>
      <c:catAx>
        <c:axId val="52925633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tr-TR"/>
          </a:p>
        </c:txPr>
        <c:crossAx val="492424127"/>
        <c:crosses val="autoZero"/>
        <c:auto val="1"/>
        <c:lblAlgn val="ctr"/>
        <c:lblOffset val="100"/>
        <c:noMultiLvlLbl val="0"/>
      </c:catAx>
      <c:valAx>
        <c:axId val="49242412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6350">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tr-TR"/>
          </a:p>
        </c:txPr>
        <c:crossAx val="529256338"/>
        <c:crosses val="autoZero"/>
        <c:crossBetween val="between"/>
      </c:valAx>
      <c:spPr>
        <a:noFill/>
        <a:ln w="6350">
          <a:noFill/>
        </a:ln>
        <a:effectLst/>
      </c:spPr>
    </c:plotArea>
    <c:legend>
      <c:legendPos val="r"/>
      <c:layout>
        <c:manualLayout>
          <c:xMode val="edge"/>
          <c:yMode val="edge"/>
          <c:x val="0.86399999999999999"/>
          <c:y val="0.45324999999999999"/>
          <c:w val="0.10625"/>
          <c:h val="0.19275"/>
        </c:manualLayout>
      </c:layout>
      <c:overlay val="0"/>
      <c:spPr>
        <a:noFill/>
        <a:ln w="6350">
          <a:noFill/>
        </a:ln>
        <a:effectLst/>
      </c:spPr>
      <c:txPr>
        <a:bodyPr rot="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xdr:row>
      <xdr:rowOff>85725</xdr:rowOff>
    </xdr:from>
    <xdr:to>
      <xdr:col>3</xdr:col>
      <xdr:colOff>400050</xdr:colOff>
      <xdr:row>2</xdr:row>
      <xdr:rowOff>107863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42925" y="257175"/>
          <a:ext cx="1457325" cy="200025"/>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00000000-0008-0000-0000-000003000000}"/>
            </a:ext>
          </a:extLst>
        </xdr:cNvPr>
        <xdr:cNvGrpSpPr>
          <a:grpSpLocks/>
        </xdr:cNvGrpSpPr>
      </xdr:nvGrpSpPr>
      <xdr:grpSpPr bwMode="auto">
        <a:xfrm>
          <a:off x="306917" y="169333"/>
          <a:ext cx="1301750" cy="0"/>
          <a:chOff x="2928" y="3971"/>
          <a:chExt cx="1104" cy="205"/>
        </a:xfrm>
      </xdr:grpSpPr>
      <xdr:pic>
        <xdr:nvPicPr>
          <xdr:cNvPr id="4" name="Picture 3" descr="Official Yazaki 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-752189</xdr:colOff>
      <xdr:row>19</xdr:row>
      <xdr:rowOff>46838</xdr:rowOff>
    </xdr:from>
    <xdr:to>
      <xdr:col>1</xdr:col>
      <xdr:colOff>-752189</xdr:colOff>
      <xdr:row>21</xdr:row>
      <xdr:rowOff>153174</xdr:rowOff>
    </xdr:to>
    <xdr:sp macro="" textlink="">
      <xdr:nvSpPr>
        <xdr:cNvPr id="6" name="Line 12">
          <a:extLst>
            <a:ext uri="{FF2B5EF4-FFF2-40B4-BE49-F238E27FC236}">
              <a16:creationId xmlns:a16="http://schemas.microsoft.com/office/drawing/2014/main" id="{00000000-0008-0000-0000-000006000000}"/>
            </a:ext>
          </a:extLst>
        </xdr:cNvPr>
        <xdr:cNvSpPr>
          <a:spLocks noChangeShapeType="1"/>
        </xdr:cNvSpPr>
      </xdr:nvSpPr>
      <xdr:spPr bwMode="auto">
        <a:xfrm>
          <a:off x="-533399" y="3448050"/>
          <a:ext cx="0" cy="428625"/>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485775</xdr:colOff>
      <xdr:row>27</xdr:row>
      <xdr:rowOff>95250</xdr:rowOff>
    </xdr:from>
    <xdr:to>
      <xdr:col>4</xdr:col>
      <xdr:colOff>638175</xdr:colOff>
      <xdr:row>28</xdr:row>
      <xdr:rowOff>95250</xdr:rowOff>
    </xdr:to>
    <xdr:sp macro="" textlink="">
      <xdr:nvSpPr>
        <xdr:cNvPr id="7" name="Text Box 16">
          <a:extLst>
            <a:ext uri="{FF2B5EF4-FFF2-40B4-BE49-F238E27FC236}">
              <a16:creationId xmlns:a16="http://schemas.microsoft.com/office/drawing/2014/main" id="{00000000-0008-0000-0000-000007000000}"/>
            </a:ext>
          </a:extLst>
        </xdr:cNvPr>
        <xdr:cNvSpPr txBox="1">
          <a:spLocks noChangeArrowheads="1"/>
        </xdr:cNvSpPr>
      </xdr:nvSpPr>
      <xdr:spPr bwMode="auto">
        <a:xfrm>
          <a:off x="2781300" y="4791075"/>
          <a:ext cx="1524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00000000-0008-0000-0000-000008000000}"/>
            </a:ext>
          </a:extLst>
        </xdr:cNvPr>
        <xdr:cNvSpPr txBox="1">
          <a:spLocks noChangeArrowheads="1"/>
        </xdr:cNvSpPr>
      </xdr:nvSpPr>
      <xdr:spPr bwMode="auto">
        <a:xfrm>
          <a:off x="2371725"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10</xdr:col>
      <xdr:colOff>219075</xdr:colOff>
      <xdr:row>23</xdr:row>
      <xdr:rowOff>19050</xdr:rowOff>
    </xdr:from>
    <xdr:to>
      <xdr:col>10</xdr:col>
      <xdr:colOff>457200</xdr:colOff>
      <xdr:row>23</xdr:row>
      <xdr:rowOff>47625</xdr:rowOff>
    </xdr:to>
    <xdr:sp macro="" textlink="">
      <xdr:nvSpPr>
        <xdr:cNvPr id="9" name="Text Box 18">
          <a:extLst>
            <a:ext uri="{FF2B5EF4-FFF2-40B4-BE49-F238E27FC236}">
              <a16:creationId xmlns:a16="http://schemas.microsoft.com/office/drawing/2014/main" id="{00000000-0008-0000-0000-000009000000}"/>
            </a:ext>
          </a:extLst>
        </xdr:cNvPr>
        <xdr:cNvSpPr txBox="1">
          <a:spLocks noChangeArrowheads="1"/>
        </xdr:cNvSpPr>
      </xdr:nvSpPr>
      <xdr:spPr bwMode="auto">
        <a:xfrm>
          <a:off x="6105525" y="4067175"/>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r>
            <a:rPr lang="de-DE" sz="1000" b="0" i="0" u="none" baseline="0">
              <a:solidFill>
                <a:srgbClr val="000000"/>
              </a:solidFill>
              <a:latin typeface="Arial"/>
              <a:cs typeface="Arial"/>
            </a:rPr>
            <a:t>1</a:t>
          </a:r>
        </a:p>
      </xdr:txBody>
    </xdr:sp>
    <xdr:clientData/>
  </xdr:twoCellAnchor>
  <xdr:twoCellAnchor>
    <xdr:from>
      <xdr:col>1</xdr:col>
      <xdr:colOff>552450</xdr:colOff>
      <xdr:row>46</xdr:row>
      <xdr:rowOff>95250</xdr:rowOff>
    </xdr:from>
    <xdr:to>
      <xdr:col>1</xdr:col>
      <xdr:colOff>666750</xdr:colOff>
      <xdr:row>47</xdr:row>
      <xdr:rowOff>95250</xdr:rowOff>
    </xdr:to>
    <xdr:sp macro="" textlink="">
      <xdr:nvSpPr>
        <xdr:cNvPr id="10" name="Text Box 19">
          <a:extLst>
            <a:ext uri="{FF2B5EF4-FFF2-40B4-BE49-F238E27FC236}">
              <a16:creationId xmlns:a16="http://schemas.microsoft.com/office/drawing/2014/main" id="{00000000-0008-0000-0000-00000A000000}"/>
            </a:ext>
          </a:extLst>
        </xdr:cNvPr>
        <xdr:cNvSpPr txBox="1">
          <a:spLocks noChangeArrowheads="1"/>
        </xdr:cNvSpPr>
      </xdr:nvSpPr>
      <xdr:spPr bwMode="auto">
        <a:xfrm>
          <a:off x="762000" y="7867650"/>
          <a:ext cx="1143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xdr:col>
      <xdr:colOff>-416788</xdr:colOff>
      <xdr:row>50</xdr:row>
      <xdr:rowOff>133350</xdr:rowOff>
    </xdr:from>
    <xdr:to>
      <xdr:col>1</xdr:col>
      <xdr:colOff>-416788</xdr:colOff>
      <xdr:row>54</xdr:row>
      <xdr:rowOff>152400</xdr:rowOff>
    </xdr:to>
    <xdr:sp macro="" textlink="">
      <xdr:nvSpPr>
        <xdr:cNvPr id="11" name="Line 64">
          <a:extLst>
            <a:ext uri="{FF2B5EF4-FFF2-40B4-BE49-F238E27FC236}">
              <a16:creationId xmlns:a16="http://schemas.microsoft.com/office/drawing/2014/main" id="{00000000-0008-0000-0000-00000B000000}"/>
            </a:ext>
          </a:extLst>
        </xdr:cNvPr>
        <xdr:cNvSpPr>
          <a:spLocks noChangeShapeType="1"/>
        </xdr:cNvSpPr>
      </xdr:nvSpPr>
      <xdr:spPr bwMode="auto">
        <a:xfrm>
          <a:off x="-200024" y="8553450"/>
          <a:ext cx="0" cy="666750"/>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398145</xdr:colOff>
      <xdr:row>2</xdr:row>
      <xdr:rowOff>130088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28625" y="266700"/>
          <a:ext cx="1438275" cy="209550"/>
        </a:xfrm>
        <a:prstGeom prst="rect">
          <a:avLst/>
        </a:prstGeom>
      </xdr:spPr>
    </xdr:pic>
    <xdr:clientData/>
  </xdr:twoCellAnchor>
  <xdr:twoCellAnchor editAs="oneCell">
    <xdr:from>
      <xdr:col>1</xdr:col>
      <xdr:colOff>333375</xdr:colOff>
      <xdr:row>1</xdr:row>
      <xdr:rowOff>85725</xdr:rowOff>
    </xdr:from>
    <xdr:to>
      <xdr:col>3</xdr:col>
      <xdr:colOff>436245</xdr:colOff>
      <xdr:row>2</xdr:row>
      <xdr:rowOff>111038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38275" cy="20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186464</xdr:colOff>
      <xdr:row>1</xdr:row>
      <xdr:rowOff>72390</xdr:rowOff>
    </xdr:from>
    <xdr:to>
      <xdr:col>13</xdr:col>
      <xdr:colOff>487453</xdr:colOff>
      <xdr:row>14</xdr:row>
      <xdr:rowOff>155110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191955</xdr:colOff>
      <xdr:row>15</xdr:row>
      <xdr:rowOff>75639</xdr:rowOff>
    </xdr:from>
    <xdr:to>
      <xdr:col>13</xdr:col>
      <xdr:colOff>492944</xdr:colOff>
      <xdr:row>30</xdr:row>
      <xdr:rowOff>40698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244097</xdr:colOff>
      <xdr:row>10</xdr:row>
      <xdr:rowOff>105484</xdr:rowOff>
    </xdr:from>
    <xdr:to>
      <xdr:col>8</xdr:col>
      <xdr:colOff>591670</xdr:colOff>
      <xdr:row>30</xdr:row>
      <xdr:rowOff>35304</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638175" y="266700"/>
          <a:ext cx="1447800" cy="20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405765</xdr:colOff>
      <xdr:row>2</xdr:row>
      <xdr:rowOff>130088</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76225"/>
          <a:ext cx="1447800" cy="209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285750</xdr:colOff>
      <xdr:row>1</xdr:row>
      <xdr:rowOff>104775</xdr:rowOff>
    </xdr:from>
    <xdr:to>
      <xdr:col>3</xdr:col>
      <xdr:colOff>396240</xdr:colOff>
      <xdr:row>2</xdr:row>
      <xdr:rowOff>133898</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90525" y="276225"/>
          <a:ext cx="1447800" cy="209550"/>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0050" y="276225"/>
          <a:ext cx="1438275" cy="209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407670</xdr:colOff>
      <xdr:row>2</xdr:row>
      <xdr:rowOff>133898</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04825" y="27622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04825" y="276225"/>
          <a:ext cx="1447800" cy="209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407670</xdr:colOff>
      <xdr:row>2</xdr:row>
      <xdr:rowOff>133898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33400" y="27622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33400" y="276225"/>
          <a:ext cx="1447800" cy="2095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95300" y="266700"/>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95300" y="276225"/>
          <a:ext cx="1447800" cy="2095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392430</xdr:colOff>
      <xdr:row>2</xdr:row>
      <xdr:rowOff>111038</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85775" y="276225"/>
          <a:ext cx="1447800" cy="2095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392430</xdr:colOff>
      <xdr:row>2</xdr:row>
      <xdr:rowOff>111038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85775" y="276225"/>
          <a:ext cx="1447800" cy="2095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295275</xdr:colOff>
      <xdr:row>1</xdr:row>
      <xdr:rowOff>85725</xdr:rowOff>
    </xdr:from>
    <xdr:to>
      <xdr:col>3</xdr:col>
      <xdr:colOff>409575</xdr:colOff>
      <xdr:row>2</xdr:row>
      <xdr:rowOff>111038</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71500" y="257175"/>
          <a:ext cx="1447800" cy="209550"/>
        </a:xfrm>
        <a:prstGeom prst="rect">
          <a:avLst/>
        </a:prstGeom>
      </xdr:spPr>
    </xdr:pic>
    <xdr:clientData/>
  </xdr:twoCellAnchor>
  <xdr:oneCellAnchor>
    <xdr:from>
      <xdr:col>2</xdr:col>
      <xdr:colOff>238125</xdr:colOff>
      <xdr:row>21</xdr:row>
      <xdr:rowOff>57150</xdr:rowOff>
    </xdr:from>
    <xdr:ext cx="5743575" cy="1219200"/>
    <xdr:sp macro="" textlink="" fLocksText="0">
      <xdr:nvSpPr>
        <xdr:cNvPr id="3" name="Rectangle 2">
          <a:extLst>
            <a:ext uri="{FF2B5EF4-FFF2-40B4-BE49-F238E27FC236}">
              <a16:creationId xmlns:a16="http://schemas.microsoft.com/office/drawing/2014/main" id="{00000000-0008-0000-0B00-000003000000}"/>
            </a:ext>
          </a:extLst>
        </xdr:cNvPr>
        <xdr:cNvSpPr/>
      </xdr:nvSpPr>
      <xdr:spPr>
        <a:xfrm rot="21128060">
          <a:off x="885825" y="5981700"/>
          <a:ext cx="5743575" cy="1219200"/>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pPr>
          <a:r>
            <a:rPr lang="en-US" sz="7200" b="1" i="0" u="none" kern="0" spc="0" baseline="0">
              <a:ln w="11430"/>
              <a:gradFill rotWithShape="1">
                <a:gsLst>
                  <a:gs pos="0">
                    <a:srgbClr val="C0504D">
                      <a:tint val="70000"/>
                      <a:satMod val="245000"/>
                    </a:srgbClr>
                  </a:gs>
                  <a:gs pos="75000">
                    <a:srgbClr val="C0504D">
                      <a:tint val="90000"/>
                      <a:shade val="60000"/>
                      <a:satMod val="240000"/>
                    </a:srgbClr>
                  </a:gs>
                  <a:gs pos="100000">
                    <a:srgbClr val="C0504D">
                      <a:tint val="100000"/>
                      <a:shade val="50000"/>
                      <a:satMod val="240000"/>
                    </a:srgbClr>
                  </a:gs>
                </a:gsLst>
                <a:lin ang="5400000"/>
              </a:gradFill>
              <a:effectLst>
                <a:outerShdw blurRad="50800" dist="39000" dir="5460000" algn="tl">
                  <a:prstClr val="black">
                    <a:alpha val="38000"/>
                  </a:prstClr>
                </a:outerShdw>
              </a:effectLst>
            </a:rPr>
            <a:t>Sample</a:t>
          </a:r>
        </a:p>
      </xdr:txBody>
    </xdr:sp>
    <xdr:clientData/>
  </xdr:oneCellAnchor>
  <xdr:twoCellAnchor>
    <xdr:from>
      <xdr:col>4</xdr:col>
      <xdr:colOff>619125</xdr:colOff>
      <xdr:row>28</xdr:row>
      <xdr:rowOff>266700</xdr:rowOff>
    </xdr:from>
    <xdr:to>
      <xdr:col>6</xdr:col>
      <xdr:colOff>165100</xdr:colOff>
      <xdr:row>29</xdr:row>
      <xdr:rowOff>274637</xdr:rowOff>
    </xdr:to>
    <xdr:sp macro="" textlink="" fLocksText="0">
      <xdr:nvSpPr>
        <xdr:cNvPr id="4" name="8-Point Star 3">
          <a:extLst>
            <a:ext uri="{FF2B5EF4-FFF2-40B4-BE49-F238E27FC236}">
              <a16:creationId xmlns:a16="http://schemas.microsoft.com/office/drawing/2014/main" id="{00000000-0008-0000-0B00-000004000000}"/>
            </a:ext>
          </a:extLst>
        </xdr:cNvPr>
        <xdr:cNvSpPr/>
      </xdr:nvSpPr>
      <xdr:spPr bwMode="auto">
        <a:xfrm>
          <a:off x="3000375" y="8324850"/>
          <a:ext cx="723900" cy="314325"/>
        </a:xfrm>
        <a:prstGeom prst="star8">
          <a:avLst/>
        </a:prstGeom>
        <a:solidFill>
          <a:srgbClr val="FFFFFF"/>
        </a:solidFill>
        <a:ln w="25400" cap="flat" cmpd="sng" algn="ctr">
          <a:solidFill>
            <a:srgbClr val="FF0000"/>
          </a:solidFill>
          <a:prstDash val="soli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pPr>
          <a:r>
            <a:rPr lang="en-US" sz="1100" b="1" i="0" u="none" kern="0" spc="0" baseline="0">
              <a:ln>
                <a:noFill/>
              </a:ln>
              <a:solidFill>
                <a:srgbClr val="FF0000"/>
              </a:solidFill>
              <a:effectLst/>
              <a:latin typeface="Calibri"/>
              <a:ea typeface="+mn-ea"/>
              <a:cs typeface="+mn-cs"/>
            </a:rPr>
            <a:t>  10</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304800</xdr:colOff>
      <xdr:row>1</xdr:row>
      <xdr:rowOff>76200</xdr:rowOff>
    </xdr:from>
    <xdr:to>
      <xdr:col>3</xdr:col>
      <xdr:colOff>419100</xdr:colOff>
      <xdr:row>2</xdr:row>
      <xdr:rowOff>97703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38150" y="247650"/>
          <a:ext cx="1447800" cy="200025"/>
        </a:xfrm>
        <a:prstGeom prst="rect">
          <a:avLst/>
        </a:prstGeom>
      </xdr:spPr>
    </xdr:pic>
    <xdr:clientData/>
  </xdr:twoCellAnchor>
  <xdr:oneCellAnchor>
    <xdr:from>
      <xdr:col>6</xdr:col>
      <xdr:colOff>381000</xdr:colOff>
      <xdr:row>20</xdr:row>
      <xdr:rowOff>190500</xdr:rowOff>
    </xdr:from>
    <xdr:ext cx="5743575" cy="1219200"/>
    <xdr:sp macro="" textlink="" fLocksText="0">
      <xdr:nvSpPr>
        <xdr:cNvPr id="3" name="Rectangle 2">
          <a:extLst>
            <a:ext uri="{FF2B5EF4-FFF2-40B4-BE49-F238E27FC236}">
              <a16:creationId xmlns:a16="http://schemas.microsoft.com/office/drawing/2014/main" id="{00000000-0008-0000-0C00-000003000000}"/>
            </a:ext>
          </a:extLst>
        </xdr:cNvPr>
        <xdr:cNvSpPr/>
      </xdr:nvSpPr>
      <xdr:spPr>
        <a:xfrm rot="21128060">
          <a:off x="3495675" y="5981700"/>
          <a:ext cx="5743575" cy="1219200"/>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7200" b="1" spc="0">
              <a:ln w="11430"/>
              <a:gradFill rotWithShape="1">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prstClr val="black">
                    <a:alpha val="38000"/>
                  </a:prstClr>
                </a:outerShdw>
              </a:effectLst>
            </a:rPr>
            <a:t>Sample</a:t>
          </a:r>
        </a:p>
      </xdr:txBody>
    </xdr:sp>
    <xdr:clientData/>
  </xdr:oneCellAnchor>
  <xdr:twoCellAnchor>
    <xdr:from>
      <xdr:col>5</xdr:col>
      <xdr:colOff>152400</xdr:colOff>
      <xdr:row>12</xdr:row>
      <xdr:rowOff>200025</xdr:rowOff>
    </xdr:from>
    <xdr:to>
      <xdr:col>6</xdr:col>
      <xdr:colOff>295275</xdr:colOff>
      <xdr:row>12</xdr:row>
      <xdr:rowOff>466725</xdr:rowOff>
    </xdr:to>
    <xdr:sp macro="" textlink="" fLocksText="0">
      <xdr:nvSpPr>
        <xdr:cNvPr id="4" name="8-Point Star 3">
          <a:extLst>
            <a:ext uri="{FF2B5EF4-FFF2-40B4-BE49-F238E27FC236}">
              <a16:creationId xmlns:a16="http://schemas.microsoft.com/office/drawing/2014/main" id="{00000000-0008-0000-0C00-000004000000}"/>
            </a:ext>
          </a:extLst>
        </xdr:cNvPr>
        <xdr:cNvSpPr/>
      </xdr:nvSpPr>
      <xdr:spPr bwMode="auto">
        <a:xfrm>
          <a:off x="3095625" y="33242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1</a:t>
          </a:r>
          <a:endParaRPr lang="en-US" sz="1100" b="1">
            <a:solidFill>
              <a:srgbClr val="FF0000"/>
            </a:solidFill>
          </a:endParaRPr>
        </a:p>
      </xdr:txBody>
    </xdr:sp>
    <xdr:clientData/>
  </xdr:twoCellAnchor>
  <xdr:twoCellAnchor>
    <xdr:from>
      <xdr:col>7</xdr:col>
      <xdr:colOff>85725</xdr:colOff>
      <xdr:row>14</xdr:row>
      <xdr:rowOff>9525</xdr:rowOff>
    </xdr:from>
    <xdr:to>
      <xdr:col>7</xdr:col>
      <xdr:colOff>400050</xdr:colOff>
      <xdr:row>14</xdr:row>
      <xdr:rowOff>276225</xdr:rowOff>
    </xdr:to>
    <xdr:sp macro="" textlink="" fLocksText="0">
      <xdr:nvSpPr>
        <xdr:cNvPr id="6" name="8-Point Star 5">
          <a:extLst>
            <a:ext uri="{FF2B5EF4-FFF2-40B4-BE49-F238E27FC236}">
              <a16:creationId xmlns:a16="http://schemas.microsoft.com/office/drawing/2014/main" id="{00000000-0008-0000-0C00-000006000000}"/>
            </a:ext>
          </a:extLst>
        </xdr:cNvPr>
        <xdr:cNvSpPr/>
      </xdr:nvSpPr>
      <xdr:spPr bwMode="auto">
        <a:xfrm>
          <a:off x="4038600" y="3971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3</a:t>
          </a:r>
          <a:endParaRPr lang="en-US" sz="1100" b="1">
            <a:solidFill>
              <a:srgbClr val="FF0000"/>
            </a:solidFill>
          </a:endParaRPr>
        </a:p>
      </xdr:txBody>
    </xdr:sp>
    <xdr:clientData/>
  </xdr:twoCellAnchor>
  <xdr:twoCellAnchor>
    <xdr:from>
      <xdr:col>7</xdr:col>
      <xdr:colOff>666750</xdr:colOff>
      <xdr:row>11</xdr:row>
      <xdr:rowOff>28575</xdr:rowOff>
    </xdr:from>
    <xdr:to>
      <xdr:col>7</xdr:col>
      <xdr:colOff>981075</xdr:colOff>
      <xdr:row>11</xdr:row>
      <xdr:rowOff>295275</xdr:rowOff>
    </xdr:to>
    <xdr:sp macro="" textlink="" fLocksText="0">
      <xdr:nvSpPr>
        <xdr:cNvPr id="7" name="8-Point Star 6">
          <a:extLst>
            <a:ext uri="{FF2B5EF4-FFF2-40B4-BE49-F238E27FC236}">
              <a16:creationId xmlns:a16="http://schemas.microsoft.com/office/drawing/2014/main" id="{00000000-0008-0000-0C00-000007000000}"/>
            </a:ext>
          </a:extLst>
        </xdr:cNvPr>
        <xdr:cNvSpPr/>
      </xdr:nvSpPr>
      <xdr:spPr bwMode="auto">
        <a:xfrm>
          <a:off x="4619625" y="280987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2</a:t>
          </a:r>
          <a:endParaRPr lang="en-US" sz="1100" b="1">
            <a:solidFill>
              <a:srgbClr val="FF0000"/>
            </a:solidFill>
          </a:endParaRPr>
        </a:p>
      </xdr:txBody>
    </xdr:sp>
    <xdr:clientData/>
  </xdr:twoCellAnchor>
  <xdr:twoCellAnchor>
    <xdr:from>
      <xdr:col>8</xdr:col>
      <xdr:colOff>485775</xdr:colOff>
      <xdr:row>11</xdr:row>
      <xdr:rowOff>47625</xdr:rowOff>
    </xdr:from>
    <xdr:to>
      <xdr:col>8</xdr:col>
      <xdr:colOff>800100</xdr:colOff>
      <xdr:row>11</xdr:row>
      <xdr:rowOff>314325</xdr:rowOff>
    </xdr:to>
    <xdr:sp macro="" textlink="" fLocksText="0">
      <xdr:nvSpPr>
        <xdr:cNvPr id="8" name="8-Point Star 7">
          <a:extLst>
            <a:ext uri="{FF2B5EF4-FFF2-40B4-BE49-F238E27FC236}">
              <a16:creationId xmlns:a16="http://schemas.microsoft.com/office/drawing/2014/main" id="{00000000-0008-0000-0C00-000008000000}"/>
            </a:ext>
          </a:extLst>
        </xdr:cNvPr>
        <xdr:cNvSpPr/>
      </xdr:nvSpPr>
      <xdr:spPr bwMode="auto">
        <a:xfrm>
          <a:off x="6477000" y="2828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4</a:t>
          </a:r>
          <a:endParaRPr lang="en-US" sz="1100" b="1">
            <a:solidFill>
              <a:srgbClr val="FF0000"/>
            </a:solidFill>
          </a:endParaRPr>
        </a:p>
      </xdr:txBody>
    </xdr:sp>
    <xdr:clientData/>
  </xdr:twoCellAnchor>
  <xdr:twoCellAnchor>
    <xdr:from>
      <xdr:col>9</xdr:col>
      <xdr:colOff>0</xdr:colOff>
      <xdr:row>12</xdr:row>
      <xdr:rowOff>276225</xdr:rowOff>
    </xdr:from>
    <xdr:to>
      <xdr:col>9</xdr:col>
      <xdr:colOff>314325</xdr:colOff>
      <xdr:row>13</xdr:row>
      <xdr:rowOff>9525</xdr:rowOff>
    </xdr:to>
    <xdr:sp macro="" textlink="" fLocksText="0">
      <xdr:nvSpPr>
        <xdr:cNvPr id="9" name="8-Point Star 8">
          <a:extLst>
            <a:ext uri="{FF2B5EF4-FFF2-40B4-BE49-F238E27FC236}">
              <a16:creationId xmlns:a16="http://schemas.microsoft.com/office/drawing/2014/main" id="{00000000-0008-0000-0C00-000009000000}"/>
            </a:ext>
          </a:extLst>
        </xdr:cNvPr>
        <xdr:cNvSpPr/>
      </xdr:nvSpPr>
      <xdr:spPr bwMode="auto">
        <a:xfrm>
          <a:off x="8029575" y="34004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5</a:t>
          </a:r>
          <a:endParaRPr lang="en-US" sz="1100" b="1">
            <a:solidFill>
              <a:srgbClr val="FF0000"/>
            </a:solidFill>
          </a:endParaRPr>
        </a:p>
      </xdr:txBody>
    </xdr:sp>
    <xdr:clientData/>
  </xdr:twoCellAnchor>
  <xdr:twoCellAnchor>
    <xdr:from>
      <xdr:col>10</xdr:col>
      <xdr:colOff>57150</xdr:colOff>
      <xdr:row>14</xdr:row>
      <xdr:rowOff>19050</xdr:rowOff>
    </xdr:from>
    <xdr:to>
      <xdr:col>10</xdr:col>
      <xdr:colOff>371475</xdr:colOff>
      <xdr:row>14</xdr:row>
      <xdr:rowOff>285750</xdr:rowOff>
    </xdr:to>
    <xdr:sp macro="" textlink="" fLocksText="0">
      <xdr:nvSpPr>
        <xdr:cNvPr id="11" name="8-Point Star 10">
          <a:extLst>
            <a:ext uri="{FF2B5EF4-FFF2-40B4-BE49-F238E27FC236}">
              <a16:creationId xmlns:a16="http://schemas.microsoft.com/office/drawing/2014/main" id="{00000000-0008-0000-0C00-00000B000000}"/>
            </a:ext>
          </a:extLst>
        </xdr:cNvPr>
        <xdr:cNvSpPr/>
      </xdr:nvSpPr>
      <xdr:spPr bwMode="auto">
        <a:xfrm>
          <a:off x="8924925" y="3981450"/>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6</a:t>
          </a:r>
          <a:endParaRPr lang="en-US" sz="1100" b="1">
            <a:solidFill>
              <a:srgbClr val="FF0000"/>
            </a:solidFill>
          </a:endParaRPr>
        </a:p>
      </xdr:txBody>
    </xdr:sp>
    <xdr:clientData/>
  </xdr:twoCellAnchor>
  <xdr:twoCellAnchor editAs="oneCell">
    <xdr:from>
      <xdr:col>1</xdr:col>
      <xdr:colOff>276225</xdr:colOff>
      <xdr:row>1</xdr:row>
      <xdr:rowOff>85725</xdr:rowOff>
    </xdr:from>
    <xdr:to>
      <xdr:col>3</xdr:col>
      <xdr:colOff>400050</xdr:colOff>
      <xdr:row>2</xdr:row>
      <xdr:rowOff>111038</xdr:rowOff>
    </xdr:to>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9575" y="257175"/>
          <a:ext cx="1457325" cy="209550"/>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28625" y="276225"/>
          <a:ext cx="1438275" cy="2095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276225</xdr:colOff>
      <xdr:row>1</xdr:row>
      <xdr:rowOff>95250</xdr:rowOff>
    </xdr:from>
    <xdr:to>
      <xdr:col>3</xdr:col>
      <xdr:colOff>342900</xdr:colOff>
      <xdr:row>2</xdr:row>
      <xdr:rowOff>122468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81000" y="266700"/>
          <a:ext cx="1457325" cy="209550"/>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00000000-0008-0000-0D00-000003000000}"/>
            </a:ext>
          </a:extLst>
        </xdr:cNvPr>
        <xdr:cNvGrpSpPr>
          <a:grpSpLocks/>
        </xdr:cNvGrpSpPr>
      </xdr:nvGrpSpPr>
      <xdr:grpSpPr bwMode="auto">
        <a:xfrm>
          <a:off x="200025" y="171450"/>
          <a:ext cx="1295400" cy="0"/>
          <a:chOff x="2928" y="3971"/>
          <a:chExt cx="1104" cy="205"/>
        </a:xfrm>
      </xdr:grpSpPr>
      <xdr:pic>
        <xdr:nvPicPr>
          <xdr:cNvPr id="4" name="Picture 3" descr="Official Yazaki Logo">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-752189</xdr:colOff>
      <xdr:row>19</xdr:row>
      <xdr:rowOff>46838</xdr:rowOff>
    </xdr:from>
    <xdr:to>
      <xdr:col>1</xdr:col>
      <xdr:colOff>-752189</xdr:colOff>
      <xdr:row>21</xdr:row>
      <xdr:rowOff>0</xdr:rowOff>
    </xdr:to>
    <xdr:sp macro="" textlink="">
      <xdr:nvSpPr>
        <xdr:cNvPr id="6" name="Line 12">
          <a:extLst>
            <a:ext uri="{FF2B5EF4-FFF2-40B4-BE49-F238E27FC236}">
              <a16:creationId xmlns:a16="http://schemas.microsoft.com/office/drawing/2014/main" id="{00000000-0008-0000-0D00-000006000000}"/>
            </a:ext>
          </a:extLst>
        </xdr:cNvPr>
        <xdr:cNvSpPr>
          <a:spLocks noChangeShapeType="1"/>
        </xdr:cNvSpPr>
      </xdr:nvSpPr>
      <xdr:spPr bwMode="auto">
        <a:xfrm>
          <a:off x="-638174" y="3448050"/>
          <a:ext cx="0" cy="276225"/>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00000000-0008-0000-0D00-000008000000}"/>
            </a:ext>
          </a:extLst>
        </xdr:cNvPr>
        <xdr:cNvSpPr txBox="1">
          <a:spLocks noChangeArrowheads="1"/>
        </xdr:cNvSpPr>
      </xdr:nvSpPr>
      <xdr:spPr bwMode="auto">
        <a:xfrm>
          <a:off x="2266950"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10</xdr:col>
      <xdr:colOff>219075</xdr:colOff>
      <xdr:row>22</xdr:row>
      <xdr:rowOff>19050</xdr:rowOff>
    </xdr:from>
    <xdr:to>
      <xdr:col>10</xdr:col>
      <xdr:colOff>457200</xdr:colOff>
      <xdr:row>22</xdr:row>
      <xdr:rowOff>47625</xdr:rowOff>
    </xdr:to>
    <xdr:sp macro="" textlink="">
      <xdr:nvSpPr>
        <xdr:cNvPr id="9" name="Text Box 18">
          <a:extLst>
            <a:ext uri="{FF2B5EF4-FFF2-40B4-BE49-F238E27FC236}">
              <a16:creationId xmlns:a16="http://schemas.microsoft.com/office/drawing/2014/main" id="{00000000-0008-0000-0D00-000009000000}"/>
            </a:ext>
          </a:extLst>
        </xdr:cNvPr>
        <xdr:cNvSpPr txBox="1">
          <a:spLocks noChangeArrowheads="1"/>
        </xdr:cNvSpPr>
      </xdr:nvSpPr>
      <xdr:spPr bwMode="auto">
        <a:xfrm>
          <a:off x="6000750" y="3905250"/>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r>
            <a:rPr lang="de-DE" sz="1000" b="0" i="0" u="none" baseline="0">
              <a:solidFill>
                <a:srgbClr val="000000"/>
              </a:solidFill>
              <a:latin typeface="Arial"/>
              <a:cs typeface="Arial"/>
            </a:rPr>
            <a:t>1</a:t>
          </a:r>
        </a:p>
      </xdr:txBody>
    </xdr:sp>
    <xdr:clientData/>
  </xdr:twoCellAnchor>
  <xdr:twoCellAnchor>
    <xdr:from>
      <xdr:col>1</xdr:col>
      <xdr:colOff>-416788</xdr:colOff>
      <xdr:row>30</xdr:row>
      <xdr:rowOff>0</xdr:rowOff>
    </xdr:from>
    <xdr:to>
      <xdr:col>1</xdr:col>
      <xdr:colOff>-416788</xdr:colOff>
      <xdr:row>30</xdr:row>
      <xdr:rowOff>0</xdr:rowOff>
    </xdr:to>
    <xdr:sp macro="" textlink="">
      <xdr:nvSpPr>
        <xdr:cNvPr id="11" name="Line 64">
          <a:extLst>
            <a:ext uri="{FF2B5EF4-FFF2-40B4-BE49-F238E27FC236}">
              <a16:creationId xmlns:a16="http://schemas.microsoft.com/office/drawing/2014/main" id="{00000000-0008-0000-0D00-00000B000000}"/>
            </a:ext>
          </a:extLst>
        </xdr:cNvPr>
        <xdr:cNvSpPr>
          <a:spLocks noChangeShapeType="1"/>
        </xdr:cNvSpPr>
      </xdr:nvSpPr>
      <xdr:spPr bwMode="auto">
        <a:xfrm>
          <a:off x="-304799" y="5181600"/>
          <a:ext cx="0" cy="0"/>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1</xdr:row>
      <xdr:rowOff>85725</xdr:rowOff>
    </xdr:from>
    <xdr:to>
      <xdr:col>3</xdr:col>
      <xdr:colOff>358140</xdr:colOff>
      <xdr:row>2</xdr:row>
      <xdr:rowOff>111038</xdr:rowOff>
    </xdr:to>
    <xdr:pic>
      <xdr:nvPicPr>
        <xdr:cNvPr id="12" name="Pictur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0050" y="257175"/>
          <a:ext cx="1457325" cy="209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S_SERVER\SYS\EXCEL_D\WH\CDW162\SYSTEM\COMPLEXI.TY\99_5NA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yazaki-my.sharepoint.com/Users/10014023/AppData/Local/Microsoft/Windows/Temporary%20Internet%20Files/Content.Outlook/7F1ZMI6Q/X31284-AU09%20-%20DVPR-13-018%20Engine%20Channel%20Left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_5NAAO"/>
      <sheetName val="Sheet1"/>
      <sheetName val="NYTO-model"/>
      <sheetName val="1tab"/>
      <sheetName val="BS2A"/>
      <sheetName val="Detail - DO NOT DELETE OR EDIT "/>
      <sheetName val="Summary"/>
      <sheetName val="Suppliers"/>
      <sheetName val="Part_Type"/>
      <sheetName val="Constants"/>
      <sheetName val="Volume-Sales"/>
      <sheetName val="7G-WCMtg-1of2"/>
      <sheetName val="USA Level 1 to Level 0 Summary"/>
      <sheetName val="DataValidatio"/>
      <sheetName val="DataValidation"/>
      <sheetName val="Wire_info"/>
      <sheetName val="PartType"/>
      <sheetName val="Inputs"/>
      <sheetName val="WSD CATALOGUE"/>
      <sheetName val="Detail_-_DO_NOT_DELETE_OR_EDIT_"/>
      <sheetName val="Detail_-_DO_NOT_DELETE_OR_EDI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row r="1">
          <cell r="A1" t="str">
            <v>OK</v>
          </cell>
          <cell r="B1" t="str">
            <v>NOK</v>
          </cell>
          <cell r="C1" t="str">
            <v>O</v>
          </cell>
        </row>
        <row r="2">
          <cell r="A2" t="str">
            <v>G</v>
          </cell>
          <cell r="B2" t="str">
            <v>X</v>
          </cell>
          <cell r="C2" t="str">
            <v>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F18A-33C7-4CA7-BE32-5F74DDB2CCC1}">
  <sheetPr>
    <pageSetUpPr fitToPage="1"/>
  </sheetPr>
  <dimension ref="B1:S57"/>
  <sheetViews>
    <sheetView showGridLines="0" zoomScale="90" zoomScaleNormal="90" zoomScaleSheetLayoutView="100" zoomScalePageLayoutView="66" workbookViewId="0">
      <selection activeCell="M11" sqref="M11"/>
    </sheetView>
  </sheetViews>
  <sheetFormatPr defaultColWidth="9.140625" defaultRowHeight="12.75" x14ac:dyDescent="0.2"/>
  <cols>
    <col min="1" max="1" width="3.140625" style="1" customWidth="1"/>
    <col min="2" max="5" width="10.42578125" style="1" customWidth="1"/>
    <col min="6" max="6" width="2.5703125" style="1" customWidth="1"/>
    <col min="7" max="7" width="10.42578125" style="1" customWidth="1"/>
    <col min="8" max="9" width="11.42578125" style="1" customWidth="1"/>
    <col min="10" max="10" width="7.5703125" style="1" customWidth="1"/>
    <col min="11" max="11" width="19.85546875" style="1" customWidth="1"/>
    <col min="12" max="16384" width="9.140625" style="1"/>
  </cols>
  <sheetData>
    <row r="1" spans="2:13" ht="13.5" thickBot="1" x14ac:dyDescent="0.25"/>
    <row r="2" spans="2:13" ht="14.25" customHeight="1" thickTop="1" x14ac:dyDescent="0.25">
      <c r="B2" s="174"/>
      <c r="C2" s="175"/>
      <c r="D2" s="175"/>
      <c r="E2" s="178" t="s">
        <v>0</v>
      </c>
      <c r="F2" s="179"/>
      <c r="G2" s="179"/>
      <c r="H2" s="179"/>
      <c r="I2" s="179"/>
      <c r="J2" s="179"/>
      <c r="K2" s="2" t="s">
        <v>1</v>
      </c>
    </row>
    <row r="3" spans="2:13" ht="14.25" customHeight="1" x14ac:dyDescent="0.2">
      <c r="B3" s="176"/>
      <c r="C3" s="177"/>
      <c r="D3" s="177"/>
      <c r="E3" s="180"/>
      <c r="F3" s="181"/>
      <c r="G3" s="181"/>
      <c r="H3" s="181"/>
      <c r="I3" s="181"/>
      <c r="J3" s="181"/>
      <c r="K3" s="111" t="s">
        <v>414</v>
      </c>
    </row>
    <row r="4" spans="2:13" ht="14.25" customHeight="1" x14ac:dyDescent="0.25">
      <c r="B4" s="182" t="s">
        <v>2</v>
      </c>
      <c r="C4" s="183"/>
      <c r="D4" s="184"/>
      <c r="E4" s="185" t="s">
        <v>3</v>
      </c>
      <c r="F4" s="186"/>
      <c r="G4" s="186"/>
      <c r="H4" s="186"/>
      <c r="I4" s="186"/>
      <c r="J4" s="187"/>
      <c r="K4" s="3" t="s">
        <v>4</v>
      </c>
      <c r="M4" s="4"/>
    </row>
    <row r="5" spans="2:13" ht="14.25" customHeight="1" x14ac:dyDescent="0.2">
      <c r="B5" s="182" t="s">
        <v>5</v>
      </c>
      <c r="C5" s="183"/>
      <c r="D5" s="184"/>
      <c r="E5" s="188"/>
      <c r="F5" s="189"/>
      <c r="G5" s="189"/>
      <c r="H5" s="189"/>
      <c r="I5" s="189"/>
      <c r="J5" s="190"/>
      <c r="K5" s="112" t="s">
        <v>413</v>
      </c>
    </row>
    <row r="6" spans="2:13" ht="26.25" customHeight="1" thickBot="1" x14ac:dyDescent="0.25">
      <c r="B6" s="191" t="s">
        <v>7</v>
      </c>
      <c r="C6" s="192"/>
      <c r="D6" s="192"/>
      <c r="E6" s="192"/>
      <c r="F6" s="192"/>
      <c r="G6" s="192"/>
      <c r="H6" s="192"/>
      <c r="I6" s="192"/>
      <c r="J6" s="192"/>
      <c r="K6" s="193"/>
    </row>
    <row r="7" spans="2:13" ht="15" customHeight="1" thickTop="1" x14ac:dyDescent="0.25">
      <c r="B7" s="6"/>
      <c r="D7" s="7"/>
      <c r="E7" s="7"/>
      <c r="F7" s="7"/>
      <c r="G7" s="7"/>
      <c r="K7" s="8"/>
    </row>
    <row r="8" spans="2:13" ht="15.75" customHeight="1" x14ac:dyDescent="0.2">
      <c r="B8" s="162" t="s">
        <v>8</v>
      </c>
      <c r="C8" s="163"/>
      <c r="D8" s="163"/>
      <c r="E8" s="163"/>
      <c r="F8" s="163"/>
      <c r="G8" s="163"/>
      <c r="H8" s="163"/>
      <c r="I8" s="163"/>
      <c r="J8" s="163"/>
      <c r="K8" s="164"/>
    </row>
    <row r="9" spans="2:13" x14ac:dyDescent="0.2">
      <c r="B9" s="165"/>
      <c r="C9" s="166"/>
      <c r="D9" s="166"/>
      <c r="E9" s="166"/>
      <c r="F9" s="166"/>
      <c r="G9" s="166"/>
      <c r="H9" s="166"/>
      <c r="I9" s="166"/>
      <c r="J9" s="166"/>
      <c r="K9" s="167"/>
    </row>
    <row r="10" spans="2:13" ht="12.75" customHeight="1" x14ac:dyDescent="0.25">
      <c r="B10" s="9"/>
      <c r="C10" s="10"/>
      <c r="D10" s="10"/>
      <c r="E10" s="10"/>
      <c r="F10" s="10"/>
      <c r="G10" s="10"/>
      <c r="H10" s="10"/>
      <c r="I10" s="10"/>
      <c r="J10" s="10"/>
      <c r="K10" s="11"/>
    </row>
    <row r="11" spans="2:13" ht="12.75" customHeight="1" x14ac:dyDescent="0.2">
      <c r="B11" s="168" t="s">
        <v>408</v>
      </c>
      <c r="C11" s="169"/>
      <c r="D11" s="169"/>
      <c r="E11" s="169"/>
      <c r="F11" s="169"/>
      <c r="G11" s="169"/>
      <c r="H11" s="169"/>
      <c r="I11" s="169"/>
      <c r="J11" s="169"/>
      <c r="K11" s="170"/>
    </row>
    <row r="12" spans="2:13" ht="12.75" customHeight="1" x14ac:dyDescent="0.2">
      <c r="B12" s="168"/>
      <c r="C12" s="169"/>
      <c r="D12" s="169"/>
      <c r="E12" s="169"/>
      <c r="F12" s="169"/>
      <c r="G12" s="169"/>
      <c r="H12" s="169"/>
      <c r="I12" s="169"/>
      <c r="J12" s="169"/>
      <c r="K12" s="170"/>
    </row>
    <row r="13" spans="2:13" ht="12.75" customHeight="1" x14ac:dyDescent="0.2">
      <c r="B13" s="168"/>
      <c r="C13" s="169"/>
      <c r="D13" s="169"/>
      <c r="E13" s="169"/>
      <c r="F13" s="169"/>
      <c r="G13" s="169"/>
      <c r="H13" s="169"/>
      <c r="I13" s="169"/>
      <c r="J13" s="169"/>
      <c r="K13" s="170"/>
    </row>
    <row r="14" spans="2:13" ht="12.75" customHeight="1" x14ac:dyDescent="0.2">
      <c r="B14" s="168"/>
      <c r="C14" s="169"/>
      <c r="D14" s="169"/>
      <c r="E14" s="169"/>
      <c r="F14" s="169"/>
      <c r="G14" s="169"/>
      <c r="H14" s="169"/>
      <c r="I14" s="169"/>
      <c r="J14" s="169"/>
      <c r="K14" s="170"/>
    </row>
    <row r="15" spans="2:13" ht="12.75" customHeight="1" x14ac:dyDescent="0.2">
      <c r="B15" s="168"/>
      <c r="C15" s="169"/>
      <c r="D15" s="169"/>
      <c r="E15" s="169"/>
      <c r="F15" s="169"/>
      <c r="G15" s="169"/>
      <c r="H15" s="169"/>
      <c r="I15" s="169"/>
      <c r="J15" s="169"/>
      <c r="K15" s="170"/>
    </row>
    <row r="16" spans="2:13" ht="12.75" customHeight="1" x14ac:dyDescent="0.2">
      <c r="B16" s="168"/>
      <c r="C16" s="169"/>
      <c r="D16" s="169"/>
      <c r="E16" s="169"/>
      <c r="F16" s="169"/>
      <c r="G16" s="169"/>
      <c r="H16" s="169"/>
      <c r="I16" s="169"/>
      <c r="J16" s="169"/>
      <c r="K16" s="170"/>
    </row>
    <row r="17" spans="2:19" ht="12.75" customHeight="1" x14ac:dyDescent="0.2">
      <c r="B17" s="168"/>
      <c r="C17" s="169"/>
      <c r="D17" s="169"/>
      <c r="E17" s="169"/>
      <c r="F17" s="169"/>
      <c r="G17" s="169"/>
      <c r="H17" s="169"/>
      <c r="I17" s="169"/>
      <c r="J17" s="169"/>
      <c r="K17" s="170"/>
      <c r="S17" s="1" t="s">
        <v>9</v>
      </c>
    </row>
    <row r="18" spans="2:19" ht="12.75" customHeight="1" x14ac:dyDescent="0.2">
      <c r="B18" s="168"/>
      <c r="C18" s="169"/>
      <c r="D18" s="169"/>
      <c r="E18" s="169"/>
      <c r="F18" s="169"/>
      <c r="G18" s="169"/>
      <c r="H18" s="169"/>
      <c r="I18" s="169"/>
      <c r="J18" s="169"/>
      <c r="K18" s="170"/>
    </row>
    <row r="19" spans="2:19" ht="12.75" customHeight="1" x14ac:dyDescent="0.2">
      <c r="B19" s="168"/>
      <c r="C19" s="169"/>
      <c r="D19" s="169"/>
      <c r="E19" s="169"/>
      <c r="F19" s="169"/>
      <c r="G19" s="169"/>
      <c r="H19" s="169"/>
      <c r="I19" s="169"/>
      <c r="J19" s="169"/>
      <c r="K19" s="170"/>
    </row>
    <row r="20" spans="2:19" ht="12.75" customHeight="1" x14ac:dyDescent="0.2">
      <c r="B20" s="168"/>
      <c r="C20" s="169"/>
      <c r="D20" s="169"/>
      <c r="E20" s="169"/>
      <c r="F20" s="169"/>
      <c r="G20" s="169"/>
      <c r="H20" s="169"/>
      <c r="I20" s="169"/>
      <c r="J20" s="169"/>
      <c r="K20" s="170"/>
    </row>
    <row r="21" spans="2:19" ht="12.75" customHeight="1" x14ac:dyDescent="0.2">
      <c r="B21" s="168"/>
      <c r="C21" s="169"/>
      <c r="D21" s="169"/>
      <c r="E21" s="169"/>
      <c r="F21" s="169"/>
      <c r="G21" s="169"/>
      <c r="H21" s="169"/>
      <c r="I21" s="169"/>
      <c r="J21" s="169"/>
      <c r="K21" s="170"/>
    </row>
    <row r="22" spans="2:19" ht="12.75" customHeight="1" x14ac:dyDescent="0.2">
      <c r="B22" s="168"/>
      <c r="C22" s="169"/>
      <c r="D22" s="169"/>
      <c r="E22" s="169"/>
      <c r="F22" s="169"/>
      <c r="G22" s="169"/>
      <c r="H22" s="169"/>
      <c r="I22" s="169"/>
      <c r="J22" s="169"/>
      <c r="K22" s="170"/>
    </row>
    <row r="23" spans="2:19" ht="12.75" customHeight="1" x14ac:dyDescent="0.2">
      <c r="B23" s="168"/>
      <c r="C23" s="169"/>
      <c r="D23" s="169"/>
      <c r="E23" s="169"/>
      <c r="F23" s="169"/>
      <c r="G23" s="169"/>
      <c r="H23" s="169"/>
      <c r="I23" s="169"/>
      <c r="J23" s="169"/>
      <c r="K23" s="170"/>
    </row>
    <row r="24" spans="2:19" ht="12.75" customHeight="1" x14ac:dyDescent="0.2">
      <c r="B24" s="168"/>
      <c r="C24" s="169"/>
      <c r="D24" s="169"/>
      <c r="E24" s="169"/>
      <c r="F24" s="169"/>
      <c r="G24" s="169"/>
      <c r="H24" s="169"/>
      <c r="I24" s="169"/>
      <c r="J24" s="169"/>
      <c r="K24" s="170"/>
    </row>
    <row r="25" spans="2:19" ht="12.75" customHeight="1" x14ac:dyDescent="0.2">
      <c r="B25" s="168"/>
      <c r="C25" s="169"/>
      <c r="D25" s="169"/>
      <c r="E25" s="169"/>
      <c r="F25" s="169"/>
      <c r="G25" s="169"/>
      <c r="H25" s="169"/>
      <c r="I25" s="169"/>
      <c r="J25" s="169"/>
      <c r="K25" s="170"/>
    </row>
    <row r="26" spans="2:19" ht="12.75" customHeight="1" x14ac:dyDescent="0.2">
      <c r="B26" s="168"/>
      <c r="C26" s="169"/>
      <c r="D26" s="169"/>
      <c r="E26" s="169"/>
      <c r="F26" s="169"/>
      <c r="G26" s="169"/>
      <c r="H26" s="169"/>
      <c r="I26" s="169"/>
      <c r="J26" s="169"/>
      <c r="K26" s="170"/>
    </row>
    <row r="27" spans="2:19" ht="12.75" customHeight="1" x14ac:dyDescent="0.2">
      <c r="B27" s="168"/>
      <c r="C27" s="169"/>
      <c r="D27" s="169"/>
      <c r="E27" s="169"/>
      <c r="F27" s="169"/>
      <c r="G27" s="169"/>
      <c r="H27" s="169"/>
      <c r="I27" s="169"/>
      <c r="J27" s="169"/>
      <c r="K27" s="170"/>
    </row>
    <row r="28" spans="2:19" ht="12.75" customHeight="1" x14ac:dyDescent="0.2">
      <c r="B28" s="168"/>
      <c r="C28" s="169"/>
      <c r="D28" s="169"/>
      <c r="E28" s="169"/>
      <c r="F28" s="169"/>
      <c r="G28" s="169"/>
      <c r="H28" s="169"/>
      <c r="I28" s="169"/>
      <c r="J28" s="169"/>
      <c r="K28" s="170"/>
    </row>
    <row r="29" spans="2:19" ht="12.75" customHeight="1" x14ac:dyDescent="0.2">
      <c r="B29" s="168"/>
      <c r="C29" s="169"/>
      <c r="D29" s="169"/>
      <c r="E29" s="169"/>
      <c r="F29" s="169"/>
      <c r="G29" s="169"/>
      <c r="H29" s="169"/>
      <c r="I29" s="169"/>
      <c r="J29" s="169"/>
      <c r="K29" s="170"/>
    </row>
    <row r="30" spans="2:19" ht="12.75" customHeight="1" x14ac:dyDescent="0.2">
      <c r="B30" s="168"/>
      <c r="C30" s="169"/>
      <c r="D30" s="169"/>
      <c r="E30" s="169"/>
      <c r="F30" s="169"/>
      <c r="G30" s="169"/>
      <c r="H30" s="169"/>
      <c r="I30" s="169"/>
      <c r="J30" s="169"/>
      <c r="K30" s="170"/>
    </row>
    <row r="31" spans="2:19" ht="12.75" customHeight="1" x14ac:dyDescent="0.2">
      <c r="B31" s="168"/>
      <c r="C31" s="169"/>
      <c r="D31" s="169"/>
      <c r="E31" s="169"/>
      <c r="F31" s="169"/>
      <c r="G31" s="169"/>
      <c r="H31" s="169"/>
      <c r="I31" s="169"/>
      <c r="J31" s="169"/>
      <c r="K31" s="170"/>
    </row>
    <row r="32" spans="2:19" ht="12.75" customHeight="1" x14ac:dyDescent="0.2">
      <c r="B32" s="168"/>
      <c r="C32" s="169"/>
      <c r="D32" s="169"/>
      <c r="E32" s="169"/>
      <c r="F32" s="169"/>
      <c r="G32" s="169"/>
      <c r="H32" s="169"/>
      <c r="I32" s="169"/>
      <c r="J32" s="169"/>
      <c r="K32" s="170"/>
    </row>
    <row r="33" spans="2:12" ht="12.75" customHeight="1" x14ac:dyDescent="0.2">
      <c r="B33" s="168"/>
      <c r="C33" s="169"/>
      <c r="D33" s="169"/>
      <c r="E33" s="169"/>
      <c r="F33" s="169"/>
      <c r="G33" s="169"/>
      <c r="H33" s="169"/>
      <c r="I33" s="169"/>
      <c r="J33" s="169"/>
      <c r="K33" s="170"/>
    </row>
    <row r="34" spans="2:12" ht="12.75" customHeight="1" x14ac:dyDescent="0.2">
      <c r="B34" s="168"/>
      <c r="C34" s="169"/>
      <c r="D34" s="169"/>
      <c r="E34" s="169"/>
      <c r="F34" s="169"/>
      <c r="G34" s="169"/>
      <c r="H34" s="169"/>
      <c r="I34" s="169"/>
      <c r="J34" s="169"/>
      <c r="K34" s="170"/>
    </row>
    <row r="35" spans="2:12" ht="12.75" customHeight="1" x14ac:dyDescent="0.2">
      <c r="B35" s="168"/>
      <c r="C35" s="169"/>
      <c r="D35" s="169"/>
      <c r="E35" s="169"/>
      <c r="F35" s="169"/>
      <c r="G35" s="169"/>
      <c r="H35" s="169"/>
      <c r="I35" s="169"/>
      <c r="J35" s="169"/>
      <c r="K35" s="170"/>
    </row>
    <row r="36" spans="2:12" ht="12.75" customHeight="1" x14ac:dyDescent="0.2">
      <c r="B36" s="168"/>
      <c r="C36" s="169"/>
      <c r="D36" s="169"/>
      <c r="E36" s="169"/>
      <c r="F36" s="169"/>
      <c r="G36" s="169"/>
      <c r="H36" s="169"/>
      <c r="I36" s="169"/>
      <c r="J36" s="169"/>
      <c r="K36" s="170"/>
    </row>
    <row r="37" spans="2:12" ht="12.75" customHeight="1" x14ac:dyDescent="0.2">
      <c r="B37" s="168"/>
      <c r="C37" s="169"/>
      <c r="D37" s="169"/>
      <c r="E37" s="169"/>
      <c r="F37" s="169"/>
      <c r="G37" s="169"/>
      <c r="H37" s="169"/>
      <c r="I37" s="169"/>
      <c r="J37" s="169"/>
      <c r="K37" s="170"/>
    </row>
    <row r="38" spans="2:12" ht="12.75" customHeight="1" x14ac:dyDescent="0.2">
      <c r="B38" s="168"/>
      <c r="C38" s="169"/>
      <c r="D38" s="169"/>
      <c r="E38" s="169"/>
      <c r="F38" s="169"/>
      <c r="G38" s="169"/>
      <c r="H38" s="169"/>
      <c r="I38" s="169"/>
      <c r="J38" s="169"/>
      <c r="K38" s="170"/>
    </row>
    <row r="39" spans="2:12" ht="12.75" customHeight="1" x14ac:dyDescent="0.2">
      <c r="B39" s="168"/>
      <c r="C39" s="169"/>
      <c r="D39" s="169"/>
      <c r="E39" s="169"/>
      <c r="F39" s="169"/>
      <c r="G39" s="169"/>
      <c r="H39" s="169"/>
      <c r="I39" s="169"/>
      <c r="J39" s="169"/>
      <c r="K39" s="170"/>
    </row>
    <row r="40" spans="2:12" ht="12.75" customHeight="1" x14ac:dyDescent="0.2">
      <c r="B40" s="168"/>
      <c r="C40" s="169"/>
      <c r="D40" s="169"/>
      <c r="E40" s="169"/>
      <c r="F40" s="169"/>
      <c r="G40" s="169"/>
      <c r="H40" s="169"/>
      <c r="I40" s="169"/>
      <c r="J40" s="169"/>
      <c r="K40" s="170"/>
    </row>
    <row r="41" spans="2:12" ht="12.75" customHeight="1" x14ac:dyDescent="0.2">
      <c r="B41" s="168"/>
      <c r="C41" s="169"/>
      <c r="D41" s="169"/>
      <c r="E41" s="169"/>
      <c r="F41" s="169"/>
      <c r="G41" s="169"/>
      <c r="H41" s="169"/>
      <c r="I41" s="169"/>
      <c r="J41" s="169"/>
      <c r="K41" s="170"/>
    </row>
    <row r="42" spans="2:12" ht="12.75" customHeight="1" x14ac:dyDescent="0.2">
      <c r="B42" s="168"/>
      <c r="C42" s="169"/>
      <c r="D42" s="169"/>
      <c r="E42" s="169"/>
      <c r="F42" s="169"/>
      <c r="G42" s="169"/>
      <c r="H42" s="169"/>
      <c r="I42" s="169"/>
      <c r="J42" s="169"/>
      <c r="K42" s="170"/>
      <c r="L42" s="12"/>
    </row>
    <row r="43" spans="2:12" ht="12.75" customHeight="1" x14ac:dyDescent="0.2">
      <c r="B43" s="168"/>
      <c r="C43" s="169"/>
      <c r="D43" s="169"/>
      <c r="E43" s="169"/>
      <c r="F43" s="169"/>
      <c r="G43" s="169"/>
      <c r="H43" s="169"/>
      <c r="I43" s="169"/>
      <c r="J43" s="169"/>
      <c r="K43" s="170"/>
    </row>
    <row r="44" spans="2:12" ht="12.75" customHeight="1" x14ac:dyDescent="0.2">
      <c r="B44" s="168"/>
      <c r="C44" s="169"/>
      <c r="D44" s="169"/>
      <c r="E44" s="169"/>
      <c r="F44" s="169"/>
      <c r="G44" s="169"/>
      <c r="H44" s="169"/>
      <c r="I44" s="169"/>
      <c r="J44" s="169"/>
      <c r="K44" s="170"/>
    </row>
    <row r="45" spans="2:12" x14ac:dyDescent="0.2">
      <c r="B45" s="168"/>
      <c r="C45" s="169"/>
      <c r="D45" s="169"/>
      <c r="E45" s="169"/>
      <c r="F45" s="169"/>
      <c r="G45" s="169"/>
      <c r="H45" s="169"/>
      <c r="I45" s="169"/>
      <c r="J45" s="169"/>
      <c r="K45" s="170"/>
    </row>
    <row r="46" spans="2:12" x14ac:dyDescent="0.2">
      <c r="B46" s="168"/>
      <c r="C46" s="169"/>
      <c r="D46" s="169"/>
      <c r="E46" s="169"/>
      <c r="F46" s="169"/>
      <c r="G46" s="169"/>
      <c r="H46" s="169"/>
      <c r="I46" s="169"/>
      <c r="J46" s="169"/>
      <c r="K46" s="170"/>
    </row>
    <row r="47" spans="2:12" x14ac:dyDescent="0.2">
      <c r="B47" s="168"/>
      <c r="C47" s="169"/>
      <c r="D47" s="169"/>
      <c r="E47" s="169"/>
      <c r="F47" s="169"/>
      <c r="G47" s="169"/>
      <c r="H47" s="169"/>
      <c r="I47" s="169"/>
      <c r="J47" s="169"/>
      <c r="K47" s="170"/>
    </row>
    <row r="48" spans="2:12" x14ac:dyDescent="0.2">
      <c r="B48" s="168"/>
      <c r="C48" s="169"/>
      <c r="D48" s="169"/>
      <c r="E48" s="169"/>
      <c r="F48" s="169"/>
      <c r="G48" s="169"/>
      <c r="H48" s="169"/>
      <c r="I48" s="169"/>
      <c r="J48" s="169"/>
      <c r="K48" s="170"/>
    </row>
    <row r="49" spans="2:11" x14ac:dyDescent="0.2">
      <c r="B49" s="168"/>
      <c r="C49" s="169"/>
      <c r="D49" s="169"/>
      <c r="E49" s="169"/>
      <c r="F49" s="169"/>
      <c r="G49" s="169"/>
      <c r="H49" s="169"/>
      <c r="I49" s="169"/>
      <c r="J49" s="169"/>
      <c r="K49" s="170"/>
    </row>
    <row r="50" spans="2:11" x14ac:dyDescent="0.2">
      <c r="B50" s="168"/>
      <c r="C50" s="169"/>
      <c r="D50" s="169"/>
      <c r="E50" s="169"/>
      <c r="F50" s="169"/>
      <c r="G50" s="169"/>
      <c r="H50" s="169"/>
      <c r="I50" s="169"/>
      <c r="J50" s="169"/>
      <c r="K50" s="170"/>
    </row>
    <row r="51" spans="2:11" x14ac:dyDescent="0.2">
      <c r="B51" s="168"/>
      <c r="C51" s="169"/>
      <c r="D51" s="169"/>
      <c r="E51" s="169"/>
      <c r="F51" s="169"/>
      <c r="G51" s="169"/>
      <c r="H51" s="169"/>
      <c r="I51" s="169"/>
      <c r="J51" s="169"/>
      <c r="K51" s="170"/>
    </row>
    <row r="52" spans="2:11" x14ac:dyDescent="0.2">
      <c r="B52" s="168"/>
      <c r="C52" s="169"/>
      <c r="D52" s="169"/>
      <c r="E52" s="169"/>
      <c r="F52" s="169"/>
      <c r="G52" s="169"/>
      <c r="H52" s="169"/>
      <c r="I52" s="169"/>
      <c r="J52" s="169"/>
      <c r="K52" s="170"/>
    </row>
    <row r="53" spans="2:11" x14ac:dyDescent="0.2">
      <c r="B53" s="168"/>
      <c r="C53" s="169"/>
      <c r="D53" s="169"/>
      <c r="E53" s="169"/>
      <c r="F53" s="169"/>
      <c r="G53" s="169"/>
      <c r="H53" s="169"/>
      <c r="I53" s="169"/>
      <c r="J53" s="169"/>
      <c r="K53" s="170"/>
    </row>
    <row r="54" spans="2:11" x14ac:dyDescent="0.2">
      <c r="B54" s="168"/>
      <c r="C54" s="169"/>
      <c r="D54" s="169"/>
      <c r="E54" s="169"/>
      <c r="F54" s="169"/>
      <c r="G54" s="169"/>
      <c r="H54" s="169"/>
      <c r="I54" s="169"/>
      <c r="J54" s="169"/>
      <c r="K54" s="170"/>
    </row>
    <row r="55" spans="2:11" x14ac:dyDescent="0.2">
      <c r="B55" s="168"/>
      <c r="C55" s="169"/>
      <c r="D55" s="169"/>
      <c r="E55" s="169"/>
      <c r="F55" s="169"/>
      <c r="G55" s="169"/>
      <c r="H55" s="169"/>
      <c r="I55" s="169"/>
      <c r="J55" s="169"/>
      <c r="K55" s="170"/>
    </row>
    <row r="56" spans="2:11" x14ac:dyDescent="0.2">
      <c r="B56" s="168"/>
      <c r="C56" s="169"/>
      <c r="D56" s="169"/>
      <c r="E56" s="169"/>
      <c r="F56" s="169"/>
      <c r="G56" s="169"/>
      <c r="H56" s="169"/>
      <c r="I56" s="169"/>
      <c r="J56" s="169"/>
      <c r="K56" s="170"/>
    </row>
    <row r="57" spans="2:11" x14ac:dyDescent="0.2">
      <c r="B57" s="171"/>
      <c r="C57" s="172"/>
      <c r="D57" s="172"/>
      <c r="E57" s="172"/>
      <c r="F57" s="172"/>
      <c r="G57" s="172"/>
      <c r="H57" s="172"/>
      <c r="I57" s="172"/>
      <c r="J57" s="172"/>
      <c r="K57" s="173"/>
    </row>
  </sheetData>
  <mergeCells count="8">
    <mergeCell ref="B8:K9"/>
    <mergeCell ref="B11:K57"/>
    <mergeCell ref="B2:D3"/>
    <mergeCell ref="E2:J3"/>
    <mergeCell ref="B4:D4"/>
    <mergeCell ref="E4:J5"/>
    <mergeCell ref="B5:D5"/>
    <mergeCell ref="B6:K6"/>
  </mergeCells>
  <printOptions horizontalCentered="1"/>
  <pageMargins left="0" right="0" top="0" bottom="0" header="0" footer="0"/>
  <pageSetup paperSize="9" scale="97" orientation="portrait" r:id="rId1"/>
  <headerFooter alignWithMargins="0">
    <oddHeader xml:space="preserve">&amp;C           </oddHeader>
    <oddFooter>&amp;LEA-EN-WH-P-009-F-01; Rev 7.0; 4.18.2024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AC9F-000F-48C5-985F-8414E0ED7F7C}">
  <sheetPr>
    <pageSetUpPr fitToPage="1"/>
  </sheetPr>
  <dimension ref="B1:S57"/>
  <sheetViews>
    <sheetView showGridLines="0" tabSelected="1" zoomScale="90" zoomScaleNormal="90" zoomScaleSheetLayoutView="100" zoomScalePageLayoutView="66" workbookViewId="0">
      <selection activeCell="S12" sqref="S12"/>
    </sheetView>
  </sheetViews>
  <sheetFormatPr defaultColWidth="9.140625" defaultRowHeight="12.75" x14ac:dyDescent="0.2"/>
  <cols>
    <col min="1" max="1" width="2" style="1" customWidth="1"/>
    <col min="2" max="2" width="5.5703125" style="1" customWidth="1"/>
    <col min="3" max="3" width="14.42578125" style="1" customWidth="1"/>
    <col min="4" max="4" width="11.5703125" style="1" customWidth="1"/>
    <col min="5" max="5" width="18.7109375" style="1" customWidth="1"/>
    <col min="6" max="6" width="2.5703125" style="1" customWidth="1"/>
    <col min="7" max="7" width="8.5703125" style="1" customWidth="1"/>
    <col min="8" max="9" width="11.42578125" style="1" customWidth="1"/>
    <col min="10" max="10" width="7.5703125" style="1" customWidth="1"/>
    <col min="11" max="11" width="21.85546875" style="1" customWidth="1"/>
    <col min="12" max="15" width="5.5703125" style="1" customWidth="1"/>
    <col min="16" max="16384" width="9.140625" style="1"/>
  </cols>
  <sheetData>
    <row r="1" spans="2:18" ht="13.5" thickBot="1" x14ac:dyDescent="0.25"/>
    <row r="2" spans="2:18" ht="14.25" customHeight="1" thickTop="1" x14ac:dyDescent="0.25">
      <c r="B2" s="174"/>
      <c r="C2" s="175"/>
      <c r="D2" s="175"/>
      <c r="E2" s="178" t="s">
        <v>0</v>
      </c>
      <c r="F2" s="179"/>
      <c r="G2" s="179"/>
      <c r="H2" s="179"/>
      <c r="I2" s="179"/>
      <c r="J2" s="179"/>
      <c r="K2" s="2" t="s">
        <v>1</v>
      </c>
    </row>
    <row r="3" spans="2:18" ht="14.25" customHeight="1" x14ac:dyDescent="0.2">
      <c r="B3" s="176"/>
      <c r="C3" s="177"/>
      <c r="D3" s="177"/>
      <c r="E3" s="180"/>
      <c r="F3" s="181"/>
      <c r="G3" s="181"/>
      <c r="H3" s="181"/>
      <c r="I3" s="181"/>
      <c r="J3" s="181"/>
      <c r="K3" s="111" t="str">
        <f>'Work Instruction pg.1'!K3</f>
        <v>18/04/2024</v>
      </c>
    </row>
    <row r="4" spans="2:18" ht="14.25" customHeight="1" x14ac:dyDescent="0.25">
      <c r="B4" s="182" t="s">
        <v>2</v>
      </c>
      <c r="C4" s="183"/>
      <c r="D4" s="184"/>
      <c r="E4" s="185" t="s">
        <v>3</v>
      </c>
      <c r="F4" s="186"/>
      <c r="G4" s="186"/>
      <c r="H4" s="186"/>
      <c r="I4" s="186"/>
      <c r="J4" s="187"/>
      <c r="K4" s="3" t="s">
        <v>4</v>
      </c>
      <c r="M4" s="4"/>
    </row>
    <row r="5" spans="2:18" ht="14.25" customHeight="1" x14ac:dyDescent="0.2">
      <c r="B5" s="182" t="s">
        <v>5</v>
      </c>
      <c r="C5" s="183"/>
      <c r="D5" s="184"/>
      <c r="E5" s="188"/>
      <c r="F5" s="189"/>
      <c r="G5" s="189"/>
      <c r="H5" s="189"/>
      <c r="I5" s="189"/>
      <c r="J5" s="190"/>
      <c r="K5" s="5" t="str">
        <f>'Work Instruction pg.1'!K5</f>
        <v>7.0</v>
      </c>
    </row>
    <row r="6" spans="2:18" ht="26.25" customHeight="1" thickBot="1" x14ac:dyDescent="0.25">
      <c r="B6" s="191" t="s">
        <v>7</v>
      </c>
      <c r="C6" s="192"/>
      <c r="D6" s="192"/>
      <c r="E6" s="192"/>
      <c r="F6" s="192"/>
      <c r="G6" s="192"/>
      <c r="H6" s="192"/>
      <c r="I6" s="192"/>
      <c r="J6" s="192"/>
      <c r="K6" s="193"/>
    </row>
    <row r="7" spans="2:18" ht="17.25" customHeight="1" thickTop="1" x14ac:dyDescent="0.2">
      <c r="B7" s="14"/>
      <c r="C7" s="14"/>
      <c r="D7" s="14"/>
      <c r="E7" s="15"/>
      <c r="F7" s="15"/>
      <c r="G7" s="15"/>
      <c r="H7" s="15"/>
      <c r="I7" s="15"/>
      <c r="J7" s="16"/>
      <c r="K7" s="16"/>
      <c r="L7" s="16"/>
    </row>
    <row r="8" spans="2:18" ht="16.5" customHeight="1" x14ac:dyDescent="0.25">
      <c r="B8" s="207" t="s">
        <v>10</v>
      </c>
      <c r="C8" s="207"/>
      <c r="D8" s="207"/>
      <c r="E8" s="207"/>
      <c r="F8" s="207"/>
      <c r="G8" s="207"/>
      <c r="H8" s="207"/>
      <c r="I8" s="207"/>
      <c r="J8" s="207"/>
      <c r="K8" s="207"/>
      <c r="L8" s="17"/>
      <c r="M8" s="17"/>
    </row>
    <row r="9" spans="2:18" ht="24.75" customHeight="1" x14ac:dyDescent="0.2">
      <c r="B9" s="208" t="s">
        <v>11</v>
      </c>
      <c r="C9" s="209"/>
      <c r="D9" s="224" t="s">
        <v>443</v>
      </c>
      <c r="E9" s="224"/>
      <c r="F9" s="224"/>
      <c r="H9" s="209" t="s">
        <v>12</v>
      </c>
      <c r="I9" s="209"/>
      <c r="J9" s="209"/>
      <c r="K9" s="100" t="s">
        <v>442</v>
      </c>
      <c r="R9" s="19"/>
    </row>
    <row r="10" spans="2:18" ht="24.75" customHeight="1" x14ac:dyDescent="0.2">
      <c r="B10" s="208" t="s">
        <v>13</v>
      </c>
      <c r="C10" s="208"/>
      <c r="D10" s="225" t="s">
        <v>428</v>
      </c>
      <c r="E10" s="225"/>
      <c r="F10" s="225"/>
      <c r="H10" s="20" t="s">
        <v>14</v>
      </c>
      <c r="I10" s="20"/>
      <c r="J10" s="20"/>
      <c r="K10" s="100" t="s">
        <v>436</v>
      </c>
      <c r="R10" s="19"/>
    </row>
    <row r="11" spans="2:18" ht="24.75" customHeight="1" x14ac:dyDescent="0.2">
      <c r="B11" s="208" t="s">
        <v>15</v>
      </c>
      <c r="C11" s="208"/>
      <c r="D11" s="225" t="s">
        <v>429</v>
      </c>
      <c r="E11" s="225"/>
      <c r="F11" s="225"/>
      <c r="H11" s="20" t="s">
        <v>16</v>
      </c>
      <c r="I11" s="20"/>
      <c r="J11" s="20"/>
      <c r="K11" s="101">
        <v>46094</v>
      </c>
      <c r="R11" s="19"/>
    </row>
    <row r="12" spans="2:18" ht="24.75" customHeight="1" x14ac:dyDescent="0.2">
      <c r="B12" s="21"/>
      <c r="C12" s="22"/>
      <c r="D12" s="23"/>
      <c r="E12" s="23"/>
      <c r="F12" s="23"/>
      <c r="H12" s="22"/>
      <c r="I12" s="22"/>
      <c r="J12" s="22"/>
    </row>
    <row r="13" spans="2:18" ht="27" customHeight="1" x14ac:dyDescent="0.25">
      <c r="B13" s="210" t="s">
        <v>17</v>
      </c>
      <c r="C13" s="211"/>
      <c r="D13" s="24"/>
      <c r="E13" s="24"/>
      <c r="F13" s="24"/>
      <c r="G13" s="24"/>
      <c r="H13" s="24"/>
      <c r="I13" s="24"/>
      <c r="J13" s="24"/>
      <c r="K13" s="25"/>
      <c r="L13" s="16"/>
      <c r="M13" s="16"/>
      <c r="N13" s="26"/>
      <c r="O13" s="27"/>
    </row>
    <row r="14" spans="2:18" ht="26.25" customHeight="1" x14ac:dyDescent="0.2">
      <c r="B14" s="28"/>
      <c r="C14" s="194" t="s">
        <v>18</v>
      </c>
      <c r="D14" s="194"/>
      <c r="E14" s="195" t="s">
        <v>19</v>
      </c>
      <c r="F14" s="196"/>
      <c r="G14" s="197" t="s">
        <v>20</v>
      </c>
      <c r="H14" s="198"/>
      <c r="I14" s="197" t="s">
        <v>21</v>
      </c>
      <c r="J14" s="199"/>
      <c r="K14" s="200"/>
      <c r="L14" s="16"/>
      <c r="M14" s="16"/>
      <c r="N14" s="26"/>
      <c r="O14" s="29"/>
    </row>
    <row r="15" spans="2:18" ht="24.6" customHeight="1" x14ac:dyDescent="0.2">
      <c r="B15" s="30" t="s">
        <v>22</v>
      </c>
      <c r="C15" s="201" t="s">
        <v>439</v>
      </c>
      <c r="D15" s="201"/>
      <c r="E15" s="202" t="s">
        <v>440</v>
      </c>
      <c r="F15" s="203"/>
      <c r="G15" s="202" t="s">
        <v>430</v>
      </c>
      <c r="H15" s="203"/>
      <c r="I15" s="204"/>
      <c r="J15" s="205"/>
      <c r="K15" s="206"/>
      <c r="L15" s="31"/>
      <c r="M15" s="31"/>
      <c r="N15" s="31"/>
      <c r="O15" s="29"/>
    </row>
    <row r="16" spans="2:18" ht="24.6" customHeight="1" x14ac:dyDescent="0.2">
      <c r="B16" s="30" t="s">
        <v>23</v>
      </c>
      <c r="C16" s="212" t="s">
        <v>438</v>
      </c>
      <c r="D16" s="212"/>
      <c r="E16" s="204" t="s">
        <v>437</v>
      </c>
      <c r="F16" s="213"/>
      <c r="G16" s="204" t="s">
        <v>430</v>
      </c>
      <c r="H16" s="213"/>
      <c r="I16" s="204"/>
      <c r="J16" s="214"/>
      <c r="K16" s="213"/>
      <c r="L16" s="31"/>
      <c r="M16" s="31"/>
      <c r="N16" s="31"/>
      <c r="O16" s="29"/>
    </row>
    <row r="17" spans="2:19" ht="24.6" customHeight="1" x14ac:dyDescent="0.2">
      <c r="B17" s="30" t="s">
        <v>24</v>
      </c>
      <c r="C17" s="212"/>
      <c r="D17" s="212"/>
      <c r="E17" s="204"/>
      <c r="F17" s="213"/>
      <c r="G17" s="204"/>
      <c r="H17" s="213"/>
      <c r="I17" s="204"/>
      <c r="J17" s="214"/>
      <c r="K17" s="213"/>
      <c r="L17" s="31"/>
      <c r="M17" s="31"/>
      <c r="N17" s="31"/>
      <c r="O17" s="29"/>
    </row>
    <row r="18" spans="2:19" ht="24.6" customHeight="1" x14ac:dyDescent="0.2">
      <c r="B18" s="30" t="s">
        <v>25</v>
      </c>
      <c r="C18" s="212"/>
      <c r="D18" s="212"/>
      <c r="E18" s="204"/>
      <c r="F18" s="213"/>
      <c r="G18" s="204"/>
      <c r="H18" s="213"/>
      <c r="I18" s="204"/>
      <c r="J18" s="214"/>
      <c r="K18" s="213"/>
      <c r="L18" s="31"/>
      <c r="M18" s="31"/>
      <c r="N18" s="31"/>
      <c r="O18" s="29"/>
    </row>
    <row r="19" spans="2:19" ht="24.6" customHeight="1" x14ac:dyDescent="0.2">
      <c r="B19" s="30" t="s">
        <v>26</v>
      </c>
      <c r="C19" s="212"/>
      <c r="D19" s="212"/>
      <c r="E19" s="204"/>
      <c r="F19" s="213"/>
      <c r="G19" s="204"/>
      <c r="H19" s="213"/>
      <c r="I19" s="204"/>
      <c r="J19" s="214"/>
      <c r="K19" s="213"/>
      <c r="L19" s="31"/>
      <c r="M19" s="31"/>
      <c r="N19" s="31"/>
      <c r="O19" s="29"/>
    </row>
    <row r="20" spans="2:19" ht="24.6" customHeight="1" x14ac:dyDescent="0.2">
      <c r="B20" s="30" t="s">
        <v>27</v>
      </c>
      <c r="C20" s="212"/>
      <c r="D20" s="212"/>
      <c r="E20" s="204"/>
      <c r="F20" s="213"/>
      <c r="G20" s="204"/>
      <c r="H20" s="213"/>
      <c r="I20" s="204"/>
      <c r="J20" s="214"/>
      <c r="K20" s="213"/>
      <c r="L20" s="31"/>
      <c r="M20" s="31"/>
      <c r="N20" s="31"/>
      <c r="O20" s="29"/>
      <c r="S20" s="1" t="s">
        <v>9</v>
      </c>
    </row>
    <row r="21" spans="2:19" ht="24.6" customHeight="1" x14ac:dyDescent="0.2">
      <c r="B21" s="30" t="s">
        <v>28</v>
      </c>
      <c r="C21" s="212"/>
      <c r="D21" s="212"/>
      <c r="E21" s="204"/>
      <c r="F21" s="213"/>
      <c r="G21" s="204"/>
      <c r="H21" s="213"/>
      <c r="I21" s="204"/>
      <c r="J21" s="214"/>
      <c r="K21" s="213"/>
      <c r="L21" s="31"/>
      <c r="M21" s="31"/>
      <c r="N21" s="31"/>
      <c r="O21" s="29"/>
    </row>
    <row r="22" spans="2:19" ht="24.6" customHeight="1" x14ac:dyDescent="0.2">
      <c r="B22" s="30" t="s">
        <v>29</v>
      </c>
      <c r="C22" s="212"/>
      <c r="D22" s="212"/>
      <c r="E22" s="204"/>
      <c r="F22" s="213"/>
      <c r="G22" s="204"/>
      <c r="H22" s="213"/>
      <c r="I22" s="204"/>
      <c r="J22" s="214"/>
      <c r="K22" s="213"/>
      <c r="L22" s="31"/>
      <c r="M22" s="31"/>
      <c r="N22" s="31"/>
      <c r="O22" s="29"/>
    </row>
    <row r="23" spans="2:19" ht="24.6" customHeight="1" x14ac:dyDescent="0.2">
      <c r="B23" s="30" t="s">
        <v>30</v>
      </c>
      <c r="C23" s="212"/>
      <c r="D23" s="212"/>
      <c r="E23" s="204"/>
      <c r="F23" s="213"/>
      <c r="G23" s="204"/>
      <c r="H23" s="213"/>
      <c r="I23" s="204"/>
      <c r="J23" s="214"/>
      <c r="K23" s="213"/>
      <c r="L23" s="31"/>
      <c r="M23" s="31"/>
      <c r="N23" s="31"/>
      <c r="O23" s="31"/>
    </row>
    <row r="24" spans="2:19" ht="24.6" customHeight="1" x14ac:dyDescent="0.2">
      <c r="B24" s="30" t="s">
        <v>31</v>
      </c>
      <c r="C24" s="204"/>
      <c r="D24" s="213"/>
      <c r="E24" s="204"/>
      <c r="F24" s="213"/>
      <c r="G24" s="204"/>
      <c r="H24" s="213"/>
      <c r="I24" s="204"/>
      <c r="J24" s="214"/>
      <c r="K24" s="213"/>
      <c r="L24" s="31"/>
      <c r="M24" s="31"/>
      <c r="N24" s="31"/>
      <c r="O24" s="31"/>
    </row>
    <row r="25" spans="2:19" ht="24.6" customHeight="1" x14ac:dyDescent="0.2">
      <c r="B25" s="30" t="s">
        <v>32</v>
      </c>
      <c r="C25" s="212"/>
      <c r="D25" s="212"/>
      <c r="E25" s="204"/>
      <c r="F25" s="213"/>
      <c r="G25" s="204"/>
      <c r="H25" s="213"/>
      <c r="I25" s="204"/>
      <c r="J25" s="214"/>
      <c r="K25" s="213"/>
      <c r="L25" s="31"/>
      <c r="M25" s="31"/>
      <c r="N25" s="31"/>
      <c r="O25" s="31"/>
    </row>
    <row r="26" spans="2:19" ht="24.6" customHeight="1" x14ac:dyDescent="0.2">
      <c r="B26" s="30" t="s">
        <v>33</v>
      </c>
      <c r="C26" s="212"/>
      <c r="D26" s="212"/>
      <c r="E26" s="204"/>
      <c r="F26" s="213"/>
      <c r="G26" s="204"/>
      <c r="H26" s="213"/>
      <c r="I26" s="204"/>
      <c r="J26" s="214"/>
      <c r="K26" s="213"/>
      <c r="L26" s="31"/>
      <c r="M26" s="31"/>
      <c r="N26" s="31"/>
      <c r="O26" s="31"/>
    </row>
    <row r="27" spans="2:19" ht="24.6" customHeight="1" x14ac:dyDescent="0.2">
      <c r="B27" s="30" t="s">
        <v>34</v>
      </c>
      <c r="C27" s="204"/>
      <c r="D27" s="213"/>
      <c r="E27" s="204"/>
      <c r="F27" s="213"/>
      <c r="G27" s="204"/>
      <c r="H27" s="213"/>
      <c r="I27" s="204"/>
      <c r="J27" s="214"/>
      <c r="K27" s="213"/>
      <c r="L27" s="31"/>
      <c r="M27" s="31"/>
      <c r="N27" s="31"/>
      <c r="O27" s="31"/>
    </row>
    <row r="28" spans="2:19" ht="24.6" customHeight="1" x14ac:dyDescent="0.2">
      <c r="B28" s="30" t="s">
        <v>35</v>
      </c>
      <c r="C28" s="204"/>
      <c r="D28" s="213"/>
      <c r="E28" s="204"/>
      <c r="F28" s="213"/>
      <c r="G28" s="204"/>
      <c r="H28" s="213"/>
      <c r="I28" s="204"/>
      <c r="J28" s="214"/>
      <c r="K28" s="213"/>
      <c r="L28" s="31"/>
      <c r="M28" s="31"/>
      <c r="N28" s="31"/>
      <c r="O28" s="31"/>
    </row>
    <row r="29" spans="2:19" ht="24.6" customHeight="1" x14ac:dyDescent="0.2">
      <c r="B29" s="30" t="s">
        <v>36</v>
      </c>
      <c r="C29" s="212"/>
      <c r="D29" s="212"/>
      <c r="E29" s="204"/>
      <c r="F29" s="213"/>
      <c r="G29" s="204"/>
      <c r="H29" s="213"/>
      <c r="I29" s="204"/>
      <c r="J29" s="214"/>
      <c r="K29" s="213"/>
      <c r="L29" s="31"/>
      <c r="M29" s="31"/>
      <c r="N29" s="31"/>
      <c r="O29" s="31"/>
    </row>
    <row r="30" spans="2:19" ht="24.6" customHeight="1" x14ac:dyDescent="0.2">
      <c r="B30" s="32"/>
      <c r="C30" s="215"/>
      <c r="D30" s="215"/>
      <c r="E30" s="215"/>
      <c r="F30" s="215"/>
      <c r="G30" s="215"/>
      <c r="H30" s="215"/>
      <c r="I30" s="33"/>
      <c r="J30" s="215"/>
      <c r="K30" s="216"/>
      <c r="L30" s="31"/>
      <c r="M30" s="31"/>
      <c r="N30" s="31"/>
      <c r="O30" s="31"/>
    </row>
    <row r="31" spans="2:19" ht="24.6" customHeight="1" x14ac:dyDescent="0.2">
      <c r="B31" s="34"/>
      <c r="C31" s="35"/>
      <c r="D31" s="217" t="s">
        <v>37</v>
      </c>
      <c r="E31" s="217"/>
      <c r="F31" s="35"/>
      <c r="G31" s="217" t="s">
        <v>38</v>
      </c>
      <c r="H31" s="217"/>
      <c r="I31" s="217"/>
      <c r="J31" s="217"/>
      <c r="K31" s="36"/>
      <c r="L31" s="31"/>
      <c r="M31" s="31"/>
      <c r="N31" s="31"/>
      <c r="O31" s="31"/>
    </row>
    <row r="32" spans="2:19" ht="24.6" customHeight="1" x14ac:dyDescent="0.2">
      <c r="B32" s="219" t="s">
        <v>39</v>
      </c>
      <c r="C32" s="209"/>
      <c r="D32" s="220"/>
      <c r="E32" s="220"/>
      <c r="F32" s="37"/>
      <c r="G32" s="220"/>
      <c r="H32" s="220"/>
      <c r="I32" s="220"/>
      <c r="J32" s="220"/>
      <c r="K32" s="36"/>
      <c r="L32" s="26"/>
      <c r="M32" s="26"/>
      <c r="N32" s="26"/>
      <c r="O32" s="31"/>
    </row>
    <row r="33" spans="2:15" ht="24.6" customHeight="1" x14ac:dyDescent="0.2">
      <c r="B33" s="218" t="s">
        <v>40</v>
      </c>
      <c r="C33" s="209"/>
      <c r="D33" s="214"/>
      <c r="E33" s="214"/>
      <c r="F33" s="37"/>
      <c r="G33" s="214"/>
      <c r="H33" s="214"/>
      <c r="I33" s="214"/>
      <c r="J33" s="214"/>
      <c r="K33" s="36"/>
      <c r="L33" s="26"/>
      <c r="M33" s="26"/>
      <c r="N33" s="26"/>
      <c r="O33" s="31"/>
    </row>
    <row r="34" spans="2:15" ht="24.6" customHeight="1" x14ac:dyDescent="0.2">
      <c r="B34" s="218" t="s">
        <v>41</v>
      </c>
      <c r="C34" s="209"/>
      <c r="D34" s="214"/>
      <c r="E34" s="214"/>
      <c r="F34" s="37"/>
      <c r="G34" s="214"/>
      <c r="H34" s="214"/>
      <c r="I34" s="214"/>
      <c r="J34" s="214"/>
      <c r="K34" s="36"/>
      <c r="L34" s="26"/>
      <c r="M34" s="26"/>
      <c r="N34" s="26"/>
    </row>
    <row r="35" spans="2:15" ht="32.25" customHeight="1" x14ac:dyDescent="0.2">
      <c r="B35" s="218" t="s">
        <v>42</v>
      </c>
      <c r="C35" s="209"/>
      <c r="D35" s="214"/>
      <c r="E35" s="214"/>
      <c r="F35" s="37"/>
      <c r="G35" s="214"/>
      <c r="H35" s="214"/>
      <c r="I35" s="214"/>
      <c r="J35" s="214"/>
      <c r="K35" s="36"/>
      <c r="L35" s="26"/>
      <c r="M35" s="26"/>
      <c r="N35" s="26"/>
    </row>
    <row r="36" spans="2:15" ht="24.6" customHeight="1" x14ac:dyDescent="0.2">
      <c r="B36" s="38"/>
      <c r="C36" s="39"/>
      <c r="D36" s="39"/>
      <c r="E36" s="39"/>
      <c r="F36" s="39"/>
      <c r="G36" s="39"/>
      <c r="H36" s="39"/>
      <c r="I36" s="39"/>
      <c r="J36" s="39"/>
      <c r="K36" s="40"/>
      <c r="L36" s="31"/>
      <c r="M36" s="31"/>
      <c r="N36" s="31"/>
      <c r="O36" s="31"/>
    </row>
    <row r="37" spans="2:15" ht="17.25" customHeight="1" x14ac:dyDescent="0.2">
      <c r="B37" s="41"/>
      <c r="C37" s="42"/>
      <c r="D37" s="43"/>
      <c r="E37" s="43"/>
      <c r="F37" s="43"/>
      <c r="G37" s="44"/>
      <c r="H37" s="44"/>
      <c r="I37" s="44"/>
      <c r="J37" s="45"/>
      <c r="K37" s="44"/>
      <c r="L37" s="31"/>
      <c r="M37" s="31"/>
      <c r="N37" s="31"/>
      <c r="O37" s="31"/>
    </row>
    <row r="38" spans="2:15" ht="24.75" customHeight="1" x14ac:dyDescent="0.2">
      <c r="B38" s="222"/>
      <c r="C38" s="223"/>
      <c r="D38" s="223"/>
      <c r="E38" s="223"/>
      <c r="F38" s="223"/>
      <c r="G38" s="46"/>
      <c r="H38" s="46"/>
      <c r="I38" s="46"/>
      <c r="J38" s="46"/>
      <c r="K38" s="46"/>
      <c r="L38" s="31"/>
      <c r="M38" s="31"/>
      <c r="N38" s="31"/>
      <c r="O38" s="31"/>
    </row>
    <row r="39" spans="2:15" ht="12.95" customHeight="1" x14ac:dyDescent="0.2">
      <c r="B39" s="47"/>
      <c r="C39" s="221"/>
      <c r="D39" s="221"/>
      <c r="E39" s="221"/>
      <c r="F39" s="221"/>
    </row>
    <row r="40" spans="2:15" ht="12.95" customHeight="1" x14ac:dyDescent="0.2">
      <c r="B40" s="48"/>
      <c r="C40" s="221"/>
      <c r="D40" s="221"/>
      <c r="E40" s="221"/>
      <c r="F40" s="221"/>
    </row>
    <row r="41" spans="2:15" ht="12.95" customHeight="1" x14ac:dyDescent="0.2">
      <c r="B41" s="48"/>
      <c r="C41" s="221"/>
      <c r="D41" s="221"/>
      <c r="E41" s="221"/>
      <c r="F41" s="221"/>
    </row>
    <row r="42" spans="2:15" ht="12.95" customHeight="1" x14ac:dyDescent="0.2">
      <c r="B42" s="48"/>
      <c r="C42" s="221"/>
      <c r="D42" s="221"/>
      <c r="E42" s="221"/>
      <c r="F42" s="221"/>
    </row>
    <row r="43" spans="2:15" ht="12.95" customHeight="1" x14ac:dyDescent="0.2">
      <c r="B43" s="48"/>
      <c r="C43" s="221"/>
      <c r="D43" s="221"/>
      <c r="E43" s="221"/>
      <c r="F43" s="221"/>
    </row>
    <row r="44" spans="2:15" ht="12.95" customHeight="1" x14ac:dyDescent="0.2">
      <c r="B44" s="48"/>
      <c r="C44" s="221"/>
      <c r="D44" s="221"/>
      <c r="E44" s="221"/>
      <c r="F44" s="221"/>
    </row>
    <row r="45" spans="2:15" ht="12.95" customHeight="1" x14ac:dyDescent="0.2">
      <c r="B45" s="222"/>
      <c r="C45" s="223"/>
      <c r="D45" s="223"/>
      <c r="E45" s="223"/>
      <c r="F45" s="223"/>
    </row>
    <row r="46" spans="2:15" ht="12.95" customHeight="1" x14ac:dyDescent="0.2">
      <c r="B46" s="47"/>
      <c r="C46" s="221"/>
      <c r="D46" s="221"/>
      <c r="E46" s="221"/>
      <c r="F46" s="221"/>
    </row>
    <row r="47" spans="2:15" ht="12.95" customHeight="1" x14ac:dyDescent="0.2">
      <c r="B47" s="48"/>
      <c r="C47" s="221"/>
      <c r="D47" s="221"/>
      <c r="E47" s="221"/>
      <c r="F47" s="221"/>
    </row>
    <row r="48" spans="2:15" ht="12.95" customHeight="1" x14ac:dyDescent="0.2">
      <c r="B48" s="48"/>
      <c r="C48" s="221"/>
      <c r="D48" s="221"/>
      <c r="E48" s="221"/>
      <c r="F48" s="221"/>
    </row>
    <row r="49" spans="2:6" ht="12.95" customHeight="1" x14ac:dyDescent="0.2">
      <c r="B49" s="48"/>
      <c r="C49" s="221"/>
      <c r="D49" s="221"/>
      <c r="E49" s="221"/>
      <c r="F49" s="221"/>
    </row>
    <row r="50" spans="2:6" ht="12.95" customHeight="1" x14ac:dyDescent="0.2">
      <c r="B50" s="48"/>
      <c r="C50" s="221"/>
      <c r="D50" s="221"/>
      <c r="E50" s="221"/>
      <c r="F50" s="221"/>
    </row>
    <row r="51" spans="2:6" ht="12.95" customHeight="1" x14ac:dyDescent="0.2">
      <c r="B51" s="48"/>
      <c r="C51" s="221"/>
      <c r="D51" s="221"/>
      <c r="E51" s="221"/>
      <c r="F51" s="221"/>
    </row>
    <row r="52" spans="2:6" ht="12.95" customHeight="1" x14ac:dyDescent="0.2">
      <c r="B52" s="48"/>
      <c r="C52" s="221"/>
      <c r="D52" s="221"/>
      <c r="E52" s="221"/>
      <c r="F52" s="221"/>
    </row>
    <row r="53" spans="2:6" ht="12.95" customHeight="1" x14ac:dyDescent="0.2">
      <c r="B53" s="48"/>
      <c r="C53" s="221"/>
      <c r="D53" s="221"/>
      <c r="E53" s="221"/>
      <c r="F53" s="221"/>
    </row>
    <row r="54" spans="2:6" ht="12.95" customHeight="1" x14ac:dyDescent="0.2">
      <c r="B54" s="48"/>
      <c r="C54" s="221"/>
      <c r="D54" s="221"/>
      <c r="E54" s="221"/>
      <c r="F54" s="221"/>
    </row>
    <row r="55" spans="2:6" ht="12.95" customHeight="1" x14ac:dyDescent="0.2">
      <c r="B55" s="48"/>
      <c r="C55" s="221"/>
      <c r="D55" s="221"/>
      <c r="E55" s="221"/>
      <c r="F55" s="221"/>
    </row>
    <row r="56" spans="2:6" x14ac:dyDescent="0.2">
      <c r="B56" s="48"/>
      <c r="C56" s="221"/>
      <c r="D56" s="221"/>
      <c r="E56" s="221"/>
      <c r="F56" s="221"/>
    </row>
    <row r="57" spans="2:6" x14ac:dyDescent="0.2">
      <c r="B57" s="222"/>
      <c r="C57" s="223"/>
      <c r="D57" s="223"/>
      <c r="E57" s="223"/>
      <c r="F57" s="223"/>
    </row>
  </sheetData>
  <mergeCells count="117">
    <mergeCell ref="C56:F56"/>
    <mergeCell ref="B57:F57"/>
    <mergeCell ref="D9:F9"/>
    <mergeCell ref="D10:F10"/>
    <mergeCell ref="D11:F11"/>
    <mergeCell ref="C50:F50"/>
    <mergeCell ref="C51:F51"/>
    <mergeCell ref="C52:F52"/>
    <mergeCell ref="C53:F53"/>
    <mergeCell ref="C54:F54"/>
    <mergeCell ref="C55:F55"/>
    <mergeCell ref="C44:F44"/>
    <mergeCell ref="B45:F45"/>
    <mergeCell ref="C46:F46"/>
    <mergeCell ref="C47:F47"/>
    <mergeCell ref="C48:F48"/>
    <mergeCell ref="C49:F49"/>
    <mergeCell ref="B38:F38"/>
    <mergeCell ref="C39:F39"/>
    <mergeCell ref="C40:F40"/>
    <mergeCell ref="C41:F41"/>
    <mergeCell ref="C42:F42"/>
    <mergeCell ref="C43:F43"/>
    <mergeCell ref="B34:C34"/>
    <mergeCell ref="D34:E34"/>
    <mergeCell ref="G34:J34"/>
    <mergeCell ref="B35:C35"/>
    <mergeCell ref="D35:E35"/>
    <mergeCell ref="G35:J35"/>
    <mergeCell ref="B32:C32"/>
    <mergeCell ref="D32:E32"/>
    <mergeCell ref="G32:J32"/>
    <mergeCell ref="B33:C33"/>
    <mergeCell ref="D33:E33"/>
    <mergeCell ref="G33:J33"/>
    <mergeCell ref="C30:D30"/>
    <mergeCell ref="E30:F30"/>
    <mergeCell ref="G30:H30"/>
    <mergeCell ref="J30:K30"/>
    <mergeCell ref="D31:E31"/>
    <mergeCell ref="G31:J31"/>
    <mergeCell ref="C28:D28"/>
    <mergeCell ref="E28:F28"/>
    <mergeCell ref="G28:H28"/>
    <mergeCell ref="I28:K28"/>
    <mergeCell ref="C29:D29"/>
    <mergeCell ref="E29:F29"/>
    <mergeCell ref="G29:H29"/>
    <mergeCell ref="I29:K29"/>
    <mergeCell ref="C26:D26"/>
    <mergeCell ref="E26:F26"/>
    <mergeCell ref="G26:H26"/>
    <mergeCell ref="I26:K26"/>
    <mergeCell ref="C27:D27"/>
    <mergeCell ref="E27:F27"/>
    <mergeCell ref="G27:H27"/>
    <mergeCell ref="I27:K27"/>
    <mergeCell ref="C24:D24"/>
    <mergeCell ref="E24:F24"/>
    <mergeCell ref="G24:H24"/>
    <mergeCell ref="I24:K24"/>
    <mergeCell ref="C25:D25"/>
    <mergeCell ref="E25:F25"/>
    <mergeCell ref="G25:H25"/>
    <mergeCell ref="I25:K25"/>
    <mergeCell ref="C22:D22"/>
    <mergeCell ref="E22:F22"/>
    <mergeCell ref="G22:H22"/>
    <mergeCell ref="I22:K22"/>
    <mergeCell ref="C23:D23"/>
    <mergeCell ref="E23:F23"/>
    <mergeCell ref="G23:H23"/>
    <mergeCell ref="I23:K23"/>
    <mergeCell ref="C20:D20"/>
    <mergeCell ref="E20:F20"/>
    <mergeCell ref="G20:H20"/>
    <mergeCell ref="I20:K20"/>
    <mergeCell ref="C21:D21"/>
    <mergeCell ref="E21:F21"/>
    <mergeCell ref="G21:H21"/>
    <mergeCell ref="I21:K21"/>
    <mergeCell ref="C18:D18"/>
    <mergeCell ref="E18:F18"/>
    <mergeCell ref="G18:H18"/>
    <mergeCell ref="I18:K18"/>
    <mergeCell ref="C19:D19"/>
    <mergeCell ref="E19:F19"/>
    <mergeCell ref="G19:H19"/>
    <mergeCell ref="I19:K19"/>
    <mergeCell ref="C16:D16"/>
    <mergeCell ref="E16:F16"/>
    <mergeCell ref="G16:H16"/>
    <mergeCell ref="I16:K16"/>
    <mergeCell ref="C17:D17"/>
    <mergeCell ref="E17:F17"/>
    <mergeCell ref="G17:H17"/>
    <mergeCell ref="I17:K17"/>
    <mergeCell ref="C15:D15"/>
    <mergeCell ref="E15:F15"/>
    <mergeCell ref="G15:H15"/>
    <mergeCell ref="I15:K15"/>
    <mergeCell ref="B8:K8"/>
    <mergeCell ref="B9:C9"/>
    <mergeCell ref="H9:J9"/>
    <mergeCell ref="B10:C10"/>
    <mergeCell ref="B11:C11"/>
    <mergeCell ref="B13:C13"/>
    <mergeCell ref="B2:D3"/>
    <mergeCell ref="E2:J3"/>
    <mergeCell ref="B4:D4"/>
    <mergeCell ref="E4:J5"/>
    <mergeCell ref="B5:D5"/>
    <mergeCell ref="B6:K6"/>
    <mergeCell ref="C14:D14"/>
    <mergeCell ref="E14:F14"/>
    <mergeCell ref="G14:H14"/>
    <mergeCell ref="I14:K14"/>
  </mergeCells>
  <printOptions horizontalCentered="1"/>
  <pageMargins left="0" right="0" top="0" bottom="0" header="0" footer="0"/>
  <pageSetup paperSize="9" scale="89" orientation="portrait" r:id="rId1"/>
  <headerFooter alignWithMargins="0">
    <oddHeader xml:space="preserve">&amp;C           </oddHeader>
    <oddFooter>&amp;LEA-EN-WH-P-009-F-01; Rev 7.0; 4.18.2024</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4190-F695-4D18-A03F-525910F74F80}">
  <sheetPr>
    <pageSetUpPr fitToPage="1"/>
  </sheetPr>
  <dimension ref="A1:AC63"/>
  <sheetViews>
    <sheetView topLeftCell="A8" zoomScale="80" zoomScaleNormal="80" workbookViewId="0">
      <selection activeCell="F38" sqref="F38"/>
    </sheetView>
  </sheetViews>
  <sheetFormatPr defaultColWidth="9.140625" defaultRowHeight="12.75" x14ac:dyDescent="0.2"/>
  <cols>
    <col min="1" max="1" width="3.7109375" style="57" customWidth="1"/>
    <col min="2" max="2" width="8.42578125" style="57" customWidth="1"/>
    <col min="3" max="3" width="9.140625" style="57"/>
    <col min="4" max="7" width="15.7109375" style="57" customWidth="1"/>
    <col min="8" max="12" width="13.28515625" style="57" customWidth="1"/>
    <col min="13" max="14" width="10.7109375" style="57" customWidth="1"/>
    <col min="15" max="23" width="11.28515625" style="16" customWidth="1"/>
    <col min="24" max="29" width="6.5703125" style="16" customWidth="1"/>
    <col min="30" max="33" width="9.140625" style="1"/>
    <col min="34" max="34" width="16.42578125" style="1" bestFit="1" customWidth="1"/>
    <col min="35" max="35" width="23.140625" style="1" bestFit="1" customWidth="1"/>
    <col min="36" max="38" width="8.85546875" style="1" customWidth="1"/>
    <col min="39" max="16384" width="9.140625" style="1"/>
  </cols>
  <sheetData>
    <row r="1" spans="2:14" ht="13.5" thickBot="1" x14ac:dyDescent="0.25"/>
    <row r="2" spans="2:14" ht="15" x14ac:dyDescent="0.2">
      <c r="B2" s="116" t="s">
        <v>43</v>
      </c>
      <c r="C2" s="117"/>
      <c r="D2" s="117"/>
      <c r="E2" s="117"/>
      <c r="F2" s="117"/>
      <c r="G2" s="117"/>
      <c r="H2" s="117"/>
      <c r="I2" s="117"/>
      <c r="J2" s="117"/>
      <c r="K2" s="117"/>
      <c r="L2" s="117"/>
      <c r="M2" s="117"/>
      <c r="N2" s="118"/>
    </row>
    <row r="3" spans="2:14" x14ac:dyDescent="0.2">
      <c r="B3" s="119"/>
      <c r="C3" s="120"/>
      <c r="D3" s="120"/>
      <c r="E3" s="120"/>
      <c r="F3" s="120"/>
      <c r="G3" s="120"/>
      <c r="H3" s="120"/>
      <c r="I3" s="120"/>
      <c r="J3" s="120"/>
      <c r="K3" s="120" t="s">
        <v>44</v>
      </c>
      <c r="L3" s="120"/>
      <c r="M3" s="120"/>
      <c r="N3" s="121"/>
    </row>
    <row r="4" spans="2:14" x14ac:dyDescent="0.2">
      <c r="B4" s="119"/>
      <c r="C4" s="120"/>
      <c r="D4" s="120"/>
      <c r="E4" s="120"/>
      <c r="F4" s="120"/>
      <c r="G4" s="120"/>
      <c r="H4" s="120"/>
      <c r="I4" s="120"/>
      <c r="J4" s="120"/>
      <c r="K4" s="120"/>
      <c r="L4" s="120"/>
      <c r="M4" s="120"/>
      <c r="N4" s="121"/>
    </row>
    <row r="5" spans="2:14" ht="28.5" customHeight="1" x14ac:dyDescent="0.2">
      <c r="B5" s="119"/>
      <c r="C5" s="108" t="s">
        <v>45</v>
      </c>
      <c r="D5" s="109" t="s">
        <v>46</v>
      </c>
      <c r="E5" s="109" t="s">
        <v>47</v>
      </c>
      <c r="F5" s="109" t="s">
        <v>48</v>
      </c>
      <c r="G5" s="109" t="s">
        <v>49</v>
      </c>
      <c r="H5" s="122" t="s">
        <v>50</v>
      </c>
      <c r="I5" s="122" t="s">
        <v>51</v>
      </c>
      <c r="J5" s="120"/>
      <c r="K5" s="120"/>
      <c r="L5" s="120"/>
      <c r="M5" s="120"/>
      <c r="N5" s="121"/>
    </row>
    <row r="6" spans="2:14" ht="15" x14ac:dyDescent="0.2">
      <c r="B6" s="119"/>
      <c r="C6" s="108" t="s">
        <v>52</v>
      </c>
      <c r="D6" s="110">
        <f t="shared" ref="D6:E8" si="0">K39</f>
        <v>93</v>
      </c>
      <c r="E6" s="107">
        <f t="shared" si="0"/>
        <v>0.92079207920792083</v>
      </c>
      <c r="F6" s="110">
        <f>K49</f>
        <v>0</v>
      </c>
      <c r="G6" s="107">
        <f t="shared" ref="F6:G8" si="1">L49</f>
        <v>0</v>
      </c>
      <c r="H6" s="122">
        <f t="shared" ref="H6:I8" si="2">K58</f>
        <v>0</v>
      </c>
      <c r="I6" s="122">
        <f t="shared" si="2"/>
        <v>0</v>
      </c>
      <c r="J6" s="120"/>
      <c r="K6" s="120"/>
      <c r="L6" s="120"/>
      <c r="M6" s="120"/>
      <c r="N6" s="121"/>
    </row>
    <row r="7" spans="2:14" ht="15" x14ac:dyDescent="0.2">
      <c r="B7" s="119"/>
      <c r="C7" s="108" t="s">
        <v>53</v>
      </c>
      <c r="D7" s="110">
        <f>K40</f>
        <v>0</v>
      </c>
      <c r="E7" s="107">
        <f t="shared" si="0"/>
        <v>0</v>
      </c>
      <c r="F7" s="110">
        <f t="shared" si="1"/>
        <v>0</v>
      </c>
      <c r="G7" s="107">
        <f t="shared" si="1"/>
        <v>0</v>
      </c>
      <c r="H7" s="122">
        <f t="shared" si="2"/>
        <v>0</v>
      </c>
      <c r="I7" s="122">
        <f t="shared" si="2"/>
        <v>0</v>
      </c>
      <c r="J7" s="120"/>
      <c r="K7" s="120"/>
      <c r="L7" s="120"/>
      <c r="M7" s="120"/>
      <c r="N7" s="121"/>
    </row>
    <row r="8" spans="2:14" ht="15" x14ac:dyDescent="0.2">
      <c r="B8" s="119"/>
      <c r="C8" s="108" t="s">
        <v>54</v>
      </c>
      <c r="D8" s="110">
        <f t="shared" si="0"/>
        <v>8</v>
      </c>
      <c r="E8" s="107">
        <f t="shared" si="0"/>
        <v>7.9207920792079209E-2</v>
      </c>
      <c r="F8" s="110">
        <f t="shared" si="1"/>
        <v>105</v>
      </c>
      <c r="G8" s="107">
        <f t="shared" si="1"/>
        <v>1</v>
      </c>
      <c r="H8" s="122">
        <f t="shared" si="2"/>
        <v>0</v>
      </c>
      <c r="I8" s="122">
        <f t="shared" si="2"/>
        <v>0</v>
      </c>
      <c r="J8" s="120"/>
      <c r="K8" s="120"/>
      <c r="L8" s="120"/>
      <c r="M8" s="120"/>
      <c r="N8" s="121"/>
    </row>
    <row r="9" spans="2:14" x14ac:dyDescent="0.2">
      <c r="B9" s="119"/>
      <c r="C9" s="120"/>
      <c r="D9" s="120"/>
      <c r="E9" s="120"/>
      <c r="F9" s="120"/>
      <c r="G9" s="120"/>
      <c r="H9" s="120"/>
      <c r="I9" s="120"/>
      <c r="J9" s="120"/>
      <c r="K9" s="120"/>
      <c r="L9" s="120"/>
      <c r="M9" s="120"/>
      <c r="N9" s="121"/>
    </row>
    <row r="10" spans="2:14" x14ac:dyDescent="0.2">
      <c r="B10" s="119"/>
      <c r="C10" s="120"/>
      <c r="D10" s="120"/>
      <c r="E10" s="120"/>
      <c r="F10" s="120"/>
      <c r="G10" s="120"/>
      <c r="H10" s="120"/>
      <c r="I10" s="120"/>
      <c r="J10" s="120"/>
      <c r="K10" s="120"/>
      <c r="L10" s="120"/>
      <c r="M10" s="120"/>
      <c r="N10" s="121"/>
    </row>
    <row r="11" spans="2:14" x14ac:dyDescent="0.2">
      <c r="B11" s="119"/>
      <c r="C11" s="120"/>
      <c r="D11" s="120"/>
      <c r="E11" s="120"/>
      <c r="F11" s="120"/>
      <c r="G11" s="120"/>
      <c r="H11" s="120"/>
      <c r="I11" s="120"/>
      <c r="J11" s="120"/>
      <c r="K11" s="120"/>
      <c r="L11" s="120"/>
      <c r="M11" s="120"/>
      <c r="N11" s="121"/>
    </row>
    <row r="12" spans="2:14" x14ac:dyDescent="0.2">
      <c r="B12" s="119"/>
      <c r="C12" s="120"/>
      <c r="D12" s="120"/>
      <c r="E12" s="120"/>
      <c r="F12" s="120"/>
      <c r="G12" s="120"/>
      <c r="H12" s="120"/>
      <c r="I12" s="120"/>
      <c r="J12" s="120"/>
      <c r="K12" s="120"/>
      <c r="L12" s="120"/>
      <c r="M12" s="120"/>
      <c r="N12" s="121"/>
    </row>
    <row r="13" spans="2:14" x14ac:dyDescent="0.2">
      <c r="B13" s="119"/>
      <c r="C13" s="120"/>
      <c r="D13" s="120"/>
      <c r="E13" s="120"/>
      <c r="F13" s="120"/>
      <c r="G13" s="120"/>
      <c r="H13" s="120"/>
      <c r="I13" s="120"/>
      <c r="J13" s="120"/>
      <c r="K13" s="120"/>
      <c r="L13" s="120"/>
      <c r="M13" s="120"/>
      <c r="N13" s="121"/>
    </row>
    <row r="14" spans="2:14" x14ac:dyDescent="0.2">
      <c r="B14" s="119"/>
      <c r="C14" s="120"/>
      <c r="D14" s="120"/>
      <c r="E14" s="120"/>
      <c r="F14" s="120"/>
      <c r="G14" s="120"/>
      <c r="H14" s="120"/>
      <c r="I14" s="120"/>
      <c r="J14" s="120"/>
      <c r="K14" s="120"/>
      <c r="L14" s="120"/>
      <c r="M14" s="120"/>
      <c r="N14" s="121"/>
    </row>
    <row r="15" spans="2:14" x14ac:dyDescent="0.2">
      <c r="B15" s="119"/>
      <c r="C15" s="120"/>
      <c r="D15" s="120"/>
      <c r="E15" s="120"/>
      <c r="F15" s="120"/>
      <c r="G15" s="120"/>
      <c r="H15" s="120"/>
      <c r="I15" s="120"/>
      <c r="J15" s="120"/>
      <c r="K15" s="120"/>
      <c r="L15" s="120"/>
      <c r="M15" s="120"/>
      <c r="N15" s="121"/>
    </row>
    <row r="16" spans="2:14" x14ac:dyDescent="0.2">
      <c r="B16" s="119"/>
      <c r="C16" s="120"/>
      <c r="D16" s="120"/>
      <c r="E16" s="120"/>
      <c r="F16" s="120"/>
      <c r="G16" s="120"/>
      <c r="H16" s="120"/>
      <c r="I16" s="120"/>
      <c r="J16" s="120"/>
      <c r="K16" s="120"/>
      <c r="L16" s="120"/>
      <c r="M16" s="120"/>
      <c r="N16" s="121"/>
    </row>
    <row r="17" spans="2:29" ht="13.35" customHeight="1" x14ac:dyDescent="0.2">
      <c r="B17" s="119"/>
      <c r="C17" s="120"/>
      <c r="D17" s="120"/>
      <c r="E17" s="120"/>
      <c r="F17" s="120"/>
      <c r="G17" s="120"/>
      <c r="H17" s="120"/>
      <c r="I17" s="120"/>
      <c r="J17" s="120"/>
      <c r="K17" s="120"/>
      <c r="L17" s="120"/>
      <c r="M17" s="120"/>
      <c r="N17" s="121"/>
    </row>
    <row r="18" spans="2:29" x14ac:dyDescent="0.2">
      <c r="B18" s="119"/>
      <c r="C18" s="120"/>
      <c r="D18" s="120"/>
      <c r="E18" s="120"/>
      <c r="F18" s="120"/>
      <c r="G18" s="120"/>
      <c r="H18" s="120"/>
      <c r="I18" s="120"/>
      <c r="J18" s="120"/>
      <c r="K18" s="120"/>
      <c r="L18" s="120"/>
      <c r="M18" s="120"/>
      <c r="N18" s="121"/>
    </row>
    <row r="19" spans="2:29" x14ac:dyDescent="0.2">
      <c r="B19" s="119"/>
      <c r="C19" s="120"/>
      <c r="D19" s="120"/>
      <c r="E19" s="120"/>
      <c r="F19" s="120"/>
      <c r="G19" s="120"/>
      <c r="H19" s="120"/>
      <c r="I19" s="120"/>
      <c r="J19" s="120"/>
      <c r="K19" s="120"/>
      <c r="L19" s="120"/>
      <c r="M19" s="120"/>
      <c r="N19" s="121"/>
    </row>
    <row r="20" spans="2:29" x14ac:dyDescent="0.2">
      <c r="B20" s="119"/>
      <c r="C20" s="120"/>
      <c r="D20" s="120"/>
      <c r="E20" s="120"/>
      <c r="F20" s="120"/>
      <c r="G20" s="120"/>
      <c r="H20" s="120"/>
      <c r="I20" s="120"/>
      <c r="J20" s="120"/>
      <c r="K20" s="120"/>
      <c r="L20" s="120"/>
      <c r="M20" s="120"/>
      <c r="N20" s="121"/>
    </row>
    <row r="21" spans="2:29" x14ac:dyDescent="0.2">
      <c r="B21" s="119"/>
      <c r="C21" s="120"/>
      <c r="D21" s="120"/>
      <c r="E21" s="120"/>
      <c r="F21" s="120"/>
      <c r="G21" s="120"/>
      <c r="H21" s="120"/>
      <c r="I21" s="120"/>
      <c r="J21" s="120"/>
      <c r="K21" s="120"/>
      <c r="L21" s="120"/>
      <c r="M21" s="120"/>
      <c r="N21" s="121"/>
    </row>
    <row r="22" spans="2:29" x14ac:dyDescent="0.2">
      <c r="B22" s="119"/>
      <c r="C22" s="120"/>
      <c r="D22" s="120"/>
      <c r="E22" s="120"/>
      <c r="F22" s="120"/>
      <c r="G22" s="120"/>
      <c r="H22" s="120"/>
      <c r="I22" s="120"/>
      <c r="J22" s="120"/>
      <c r="K22" s="120"/>
      <c r="L22" s="120"/>
      <c r="M22" s="120"/>
      <c r="N22" s="121"/>
    </row>
    <row r="23" spans="2:29" x14ac:dyDescent="0.2">
      <c r="B23" s="119"/>
      <c r="C23" s="120"/>
      <c r="D23" s="120"/>
      <c r="E23" s="120"/>
      <c r="F23" s="120"/>
      <c r="G23" s="120"/>
      <c r="H23" s="120"/>
      <c r="I23" s="120"/>
      <c r="J23" s="120"/>
      <c r="K23" s="120"/>
      <c r="L23" s="120"/>
      <c r="M23" s="120"/>
      <c r="N23" s="121"/>
    </row>
    <row r="24" spans="2:29" x14ac:dyDescent="0.2">
      <c r="B24" s="119"/>
      <c r="C24" s="120"/>
      <c r="D24" s="120"/>
      <c r="E24" s="120"/>
      <c r="F24" s="120"/>
      <c r="G24" s="120"/>
      <c r="H24" s="120"/>
      <c r="I24" s="120"/>
      <c r="J24" s="120"/>
      <c r="K24" s="120"/>
      <c r="L24" s="120"/>
      <c r="M24" s="120"/>
      <c r="N24" s="121"/>
    </row>
    <row r="25" spans="2:29" x14ac:dyDescent="0.2">
      <c r="B25" s="119"/>
      <c r="C25" s="120"/>
      <c r="D25" s="120"/>
      <c r="E25" s="120"/>
      <c r="F25" s="120"/>
      <c r="G25" s="120"/>
      <c r="H25" s="120"/>
      <c r="I25" s="120"/>
      <c r="J25" s="120"/>
      <c r="K25" s="120"/>
      <c r="L25" s="120"/>
      <c r="M25" s="123"/>
      <c r="N25" s="121"/>
    </row>
    <row r="26" spans="2:29" x14ac:dyDescent="0.2">
      <c r="B26" s="119"/>
      <c r="C26" s="120"/>
      <c r="D26" s="120"/>
      <c r="E26" s="120"/>
      <c r="F26" s="120"/>
      <c r="G26" s="120"/>
      <c r="H26" s="120"/>
      <c r="I26" s="120"/>
      <c r="J26" s="120"/>
      <c r="K26" s="120"/>
      <c r="L26" s="120"/>
      <c r="M26" s="123"/>
      <c r="N26" s="121"/>
    </row>
    <row r="27" spans="2:29" x14ac:dyDescent="0.2">
      <c r="B27" s="119"/>
      <c r="C27" s="120"/>
      <c r="D27" s="120"/>
      <c r="E27" s="120"/>
      <c r="F27" s="120"/>
      <c r="G27" s="120"/>
      <c r="H27" s="120"/>
      <c r="I27" s="120"/>
      <c r="J27" s="120"/>
      <c r="K27" s="120"/>
      <c r="L27" s="120"/>
      <c r="M27" s="123"/>
      <c r="N27" s="121"/>
    </row>
    <row r="28" spans="2:29" x14ac:dyDescent="0.2">
      <c r="B28" s="119"/>
      <c r="C28" s="120"/>
      <c r="D28" s="120"/>
      <c r="E28" s="120"/>
      <c r="F28" s="120"/>
      <c r="G28" s="120"/>
      <c r="H28" s="120"/>
      <c r="I28" s="120"/>
      <c r="J28" s="120"/>
      <c r="K28" s="120"/>
      <c r="L28" s="120"/>
      <c r="M28" s="123"/>
      <c r="N28" s="121"/>
      <c r="Z28" s="57"/>
      <c r="AA28" s="57"/>
      <c r="AB28" s="57"/>
      <c r="AC28" s="57"/>
    </row>
    <row r="29" spans="2:29" x14ac:dyDescent="0.2">
      <c r="B29" s="119"/>
      <c r="C29" s="120"/>
      <c r="D29" s="120"/>
      <c r="E29" s="120"/>
      <c r="F29" s="120"/>
      <c r="G29" s="120"/>
      <c r="H29" s="120"/>
      <c r="I29" s="120"/>
      <c r="J29" s="120"/>
      <c r="K29" s="120"/>
      <c r="L29" s="120"/>
      <c r="M29" s="123"/>
      <c r="N29" s="121"/>
      <c r="Z29" s="57"/>
      <c r="AA29" s="57"/>
      <c r="AB29" s="57"/>
      <c r="AC29" s="57"/>
    </row>
    <row r="30" spans="2:29" x14ac:dyDescent="0.2">
      <c r="B30" s="119"/>
      <c r="C30" s="120"/>
      <c r="D30" s="120"/>
      <c r="E30" s="120"/>
      <c r="F30" s="120"/>
      <c r="G30" s="120"/>
      <c r="H30" s="120"/>
      <c r="I30" s="120"/>
      <c r="J30" s="120"/>
      <c r="K30" s="120"/>
      <c r="L30" s="120"/>
      <c r="M30" s="120"/>
      <c r="N30" s="121"/>
      <c r="Z30" s="57"/>
      <c r="AA30" s="57"/>
      <c r="AB30" s="57"/>
      <c r="AC30" s="57"/>
    </row>
    <row r="31" spans="2:29" ht="13.5" thickBot="1" x14ac:dyDescent="0.25">
      <c r="B31" s="124"/>
      <c r="C31" s="125"/>
      <c r="D31" s="125"/>
      <c r="E31" s="125"/>
      <c r="F31" s="125"/>
      <c r="G31" s="125"/>
      <c r="H31" s="125"/>
      <c r="I31" s="125"/>
      <c r="J31" s="125"/>
      <c r="K31" s="125"/>
      <c r="L31" s="125"/>
      <c r="M31" s="125"/>
      <c r="N31" s="126"/>
      <c r="Z31" s="57"/>
      <c r="AA31" s="57"/>
      <c r="AB31" s="57"/>
      <c r="AC31" s="57"/>
    </row>
    <row r="33" spans="2:14" ht="13.5" thickBot="1" x14ac:dyDescent="0.25"/>
    <row r="34" spans="2:14" ht="15" x14ac:dyDescent="0.2">
      <c r="B34" s="116" t="s">
        <v>55</v>
      </c>
      <c r="C34" s="117"/>
      <c r="D34" s="117"/>
      <c r="E34" s="117"/>
      <c r="F34" s="117"/>
      <c r="G34" s="117"/>
      <c r="H34" s="117"/>
      <c r="I34" s="117"/>
      <c r="J34" s="117"/>
      <c r="K34" s="127"/>
      <c r="L34" s="127"/>
      <c r="M34" s="127"/>
      <c r="N34" s="128"/>
    </row>
    <row r="35" spans="2:14" x14ac:dyDescent="0.2">
      <c r="B35" s="119"/>
      <c r="C35" s="120"/>
      <c r="D35" s="120"/>
      <c r="E35" s="120"/>
      <c r="F35" s="120"/>
      <c r="G35" s="120"/>
      <c r="H35" s="120"/>
      <c r="I35" s="120"/>
      <c r="J35" s="120"/>
      <c r="K35" s="129"/>
      <c r="L35" s="129"/>
      <c r="M35" s="129"/>
      <c r="N35" s="130"/>
    </row>
    <row r="36" spans="2:14" x14ac:dyDescent="0.2">
      <c r="B36" s="119"/>
      <c r="C36" s="131" t="s">
        <v>46</v>
      </c>
      <c r="D36" s="129"/>
      <c r="E36" s="129"/>
      <c r="F36" s="129"/>
      <c r="G36" s="129"/>
      <c r="H36" s="129"/>
      <c r="I36" s="129"/>
      <c r="J36" s="129"/>
      <c r="K36" s="129"/>
      <c r="L36" s="129"/>
      <c r="M36" s="129"/>
      <c r="N36" s="121"/>
    </row>
    <row r="37" spans="2:14" ht="6" customHeight="1" x14ac:dyDescent="0.2">
      <c r="B37" s="119"/>
      <c r="C37" s="131"/>
      <c r="D37" s="129"/>
      <c r="E37" s="129"/>
      <c r="F37" s="129"/>
      <c r="G37" s="129"/>
      <c r="H37" s="129"/>
      <c r="I37" s="129"/>
      <c r="J37" s="129"/>
      <c r="K37" s="129"/>
      <c r="L37" s="120"/>
      <c r="M37" s="120"/>
      <c r="N37" s="121"/>
    </row>
    <row r="38" spans="2:14" ht="24" x14ac:dyDescent="0.2">
      <c r="B38" s="119"/>
      <c r="C38" s="132"/>
      <c r="D38" s="49" t="s">
        <v>56</v>
      </c>
      <c r="E38" s="50" t="s">
        <v>57</v>
      </c>
      <c r="F38" s="50" t="s">
        <v>58</v>
      </c>
      <c r="G38" s="51" t="s">
        <v>59</v>
      </c>
      <c r="H38" s="50" t="s">
        <v>60</v>
      </c>
      <c r="I38" s="50" t="s">
        <v>61</v>
      </c>
      <c r="J38" s="51" t="s">
        <v>62</v>
      </c>
      <c r="K38" s="106" t="s">
        <v>63</v>
      </c>
      <c r="L38" s="133"/>
      <c r="M38" s="133"/>
      <c r="N38" s="130"/>
    </row>
    <row r="39" spans="2:14" x14ac:dyDescent="0.2">
      <c r="B39" s="119"/>
      <c r="C39" s="133" t="s">
        <v>52</v>
      </c>
      <c r="D39" s="134">
        <f>COUNTIF('CheckSheet 1 Design&amp;Devlp pg.4'!$G$15:$G$99,C39)</f>
        <v>10</v>
      </c>
      <c r="E39" s="134">
        <f>COUNTIF('CheckSheet 2 General pg.5'!$G$15:$G$101,C39)</f>
        <v>23</v>
      </c>
      <c r="F39" s="134">
        <f>COUNTIF('CheckSheet 3 Layout pg.6'!$G$15:$G$100,C39)</f>
        <v>12</v>
      </c>
      <c r="G39" s="135">
        <f>COUNTIF('CheckSheet 4 Coverings&amp;Com pg.7'!$G$15:$G$99,C39)</f>
        <v>9</v>
      </c>
      <c r="H39" s="134">
        <f>COUNTIF('CheckSheet 5 Wire pg.8'!$G$15:$G$99,C39)</f>
        <v>10</v>
      </c>
      <c r="I39" s="134">
        <f>COUNTIF('CheckSheet 6 Splicing pg.9'!$G$15:$G$100,C39)</f>
        <v>23</v>
      </c>
      <c r="J39" s="136">
        <f>COUNTIF('CheckSheet 7 High Voltage pg.10'!$G$15:$G$100,C39)</f>
        <v>6</v>
      </c>
      <c r="K39" s="135">
        <f>SUM(C39:J39)</f>
        <v>93</v>
      </c>
      <c r="L39" s="137">
        <f>IFERROR(K39/SUM($K$39:$K$41),0)</f>
        <v>0.92079207920792083</v>
      </c>
      <c r="M39" s="133"/>
      <c r="N39" s="130"/>
    </row>
    <row r="40" spans="2:14" x14ac:dyDescent="0.2">
      <c r="B40" s="119"/>
      <c r="C40" s="133" t="s">
        <v>53</v>
      </c>
      <c r="D40" s="134">
        <f>COUNTIF('CheckSheet 1 Design&amp;Devlp pg.4'!$G$15:$G$99,C40)</f>
        <v>0</v>
      </c>
      <c r="E40" s="134">
        <f>COUNTIF('CheckSheet 2 General pg.5'!$G$15:$G$101,C40)</f>
        <v>0</v>
      </c>
      <c r="F40" s="134">
        <f>COUNTIF('CheckSheet 3 Layout pg.6'!$G$15:$G$100,C40)</f>
        <v>0</v>
      </c>
      <c r="G40" s="135">
        <f>COUNTIF('CheckSheet 4 Coverings&amp;Com pg.7'!$G$15:$G$99,C40)</f>
        <v>0</v>
      </c>
      <c r="H40" s="134">
        <f>COUNTIF('CheckSheet 5 Wire pg.8'!$G$15:$G$99,C40)</f>
        <v>0</v>
      </c>
      <c r="I40" s="134">
        <f>COUNTIF('CheckSheet 6 Splicing pg.9'!$G$15:$G$100,C40)</f>
        <v>0</v>
      </c>
      <c r="J40" s="134">
        <f>COUNTIF('CheckSheet 7 High Voltage pg.10'!$G$15:$G$100,C40)</f>
        <v>0</v>
      </c>
      <c r="K40" s="135">
        <f>SUM(C40:J40)</f>
        <v>0</v>
      </c>
      <c r="L40" s="137">
        <f>IFERROR(K40/SUM($K$39:$K$41),0)</f>
        <v>0</v>
      </c>
      <c r="M40" s="133"/>
      <c r="N40" s="130"/>
    </row>
    <row r="41" spans="2:14" x14ac:dyDescent="0.2">
      <c r="B41" s="119"/>
      <c r="C41" s="133" t="s">
        <v>54</v>
      </c>
      <c r="D41" s="134">
        <f>COUNTIF('CheckSheet 1 Design&amp;Devlp pg.4'!$G$15:$G$99,C41)</f>
        <v>3</v>
      </c>
      <c r="E41" s="134">
        <f>COUNTIF('CheckSheet 2 General pg.5'!$G$15:$G$101,C41)</f>
        <v>2</v>
      </c>
      <c r="F41" s="134">
        <f>COUNTIF('CheckSheet 3 Layout pg.6'!$G$15:$G$100,C41)</f>
        <v>2</v>
      </c>
      <c r="G41" s="135">
        <f>COUNTIF('CheckSheet 4 Coverings&amp;Com pg.7'!$G$15:$G$99,C41)</f>
        <v>1</v>
      </c>
      <c r="H41" s="134">
        <f>COUNTIF('CheckSheet 5 Wire pg.8'!$G$15:$G$99,C41)</f>
        <v>0</v>
      </c>
      <c r="I41" s="134">
        <f>COUNTIF('CheckSheet 6 Splicing pg.9'!$G$15:$G$100,C41)</f>
        <v>0</v>
      </c>
      <c r="J41" s="134">
        <f>COUNTIF('CheckSheet 7 High Voltage pg.10'!$G$15:$G$100,C41)</f>
        <v>0</v>
      </c>
      <c r="K41" s="135">
        <f>SUM(C41:J41)</f>
        <v>8</v>
      </c>
      <c r="L41" s="137">
        <f>IFERROR(K41/SUM($K$39:$K$41),0)</f>
        <v>7.9207920792079209E-2</v>
      </c>
      <c r="M41" s="133"/>
      <c r="N41" s="130"/>
    </row>
    <row r="42" spans="2:14" x14ac:dyDescent="0.2">
      <c r="B42" s="119"/>
      <c r="C42" s="133" t="s">
        <v>64</v>
      </c>
      <c r="D42" s="134">
        <f>COUNTIF('CheckSheet 1 Design&amp;Devlp pg.4'!$G$15:$G$99,C42)</f>
        <v>0</v>
      </c>
      <c r="E42" s="134">
        <f>COUNTIF('CheckSheet 2 General pg.5'!$G$15:$G$101,C42)</f>
        <v>0</v>
      </c>
      <c r="F42" s="134">
        <f>COUNTIF('CheckSheet 3 Layout pg.6'!$G$15:$G$100,C42)</f>
        <v>0</v>
      </c>
      <c r="G42" s="135">
        <f>COUNTIF('CheckSheet 4 Coverings&amp;Com pg.7'!$G$15:$G$99,C42)</f>
        <v>1</v>
      </c>
      <c r="H42" s="134">
        <f>COUNTIF('CheckSheet 5 Wire pg.8'!$G$15:$G$99,C42)</f>
        <v>3</v>
      </c>
      <c r="I42" s="134">
        <f>COUNTIF('CheckSheet 6 Splicing pg.9'!$G$15:$G$100,C42)</f>
        <v>0</v>
      </c>
      <c r="J42" s="134">
        <f>COUNTIF('CheckSheet 7 High Voltage pg.10'!$G$15:$G$100,C42)</f>
        <v>0</v>
      </c>
      <c r="K42" s="135">
        <f>SUM(C42:J42)</f>
        <v>4</v>
      </c>
      <c r="L42" s="137"/>
      <c r="M42" s="133"/>
      <c r="N42" s="130"/>
    </row>
    <row r="43" spans="2:14" x14ac:dyDescent="0.2">
      <c r="B43" s="119"/>
      <c r="C43" s="138" t="s">
        <v>65</v>
      </c>
      <c r="D43" s="139">
        <f>SUM(D39:D42)</f>
        <v>13</v>
      </c>
      <c r="E43" s="139">
        <f t="shared" ref="E43:J43" si="3">SUM(E39:E42)</f>
        <v>25</v>
      </c>
      <c r="F43" s="139">
        <f t="shared" si="3"/>
        <v>14</v>
      </c>
      <c r="G43" s="139">
        <f t="shared" si="3"/>
        <v>11</v>
      </c>
      <c r="H43" s="139">
        <f t="shared" si="3"/>
        <v>13</v>
      </c>
      <c r="I43" s="139">
        <f t="shared" si="3"/>
        <v>23</v>
      </c>
      <c r="J43" s="139">
        <f t="shared" si="3"/>
        <v>6</v>
      </c>
      <c r="K43" s="140">
        <f>SUM(K39:K42)</f>
        <v>105</v>
      </c>
      <c r="L43" s="137"/>
      <c r="M43" s="137"/>
      <c r="N43" s="130"/>
    </row>
    <row r="44" spans="2:14" x14ac:dyDescent="0.2">
      <c r="B44" s="119"/>
      <c r="C44" s="133"/>
      <c r="D44" s="133"/>
      <c r="E44" s="135"/>
      <c r="F44" s="135"/>
      <c r="G44" s="135"/>
      <c r="H44" s="135"/>
      <c r="I44" s="135"/>
      <c r="J44" s="135"/>
      <c r="K44" s="133"/>
      <c r="L44" s="133"/>
      <c r="M44" s="133"/>
      <c r="N44" s="130"/>
    </row>
    <row r="45" spans="2:14" x14ac:dyDescent="0.2">
      <c r="B45" s="119"/>
      <c r="C45" s="133"/>
      <c r="D45" s="133"/>
      <c r="E45" s="135"/>
      <c r="F45" s="135"/>
      <c r="G45" s="135"/>
      <c r="H45" s="135"/>
      <c r="I45" s="135"/>
      <c r="J45" s="135"/>
      <c r="K45" s="133"/>
      <c r="L45" s="133"/>
      <c r="M45" s="133"/>
      <c r="N45" s="130"/>
    </row>
    <row r="46" spans="2:14" x14ac:dyDescent="0.2">
      <c r="B46" s="119"/>
      <c r="C46" s="131" t="s">
        <v>48</v>
      </c>
      <c r="D46" s="142"/>
      <c r="E46" s="142"/>
      <c r="F46" s="142"/>
      <c r="G46" s="135"/>
      <c r="H46" s="135"/>
      <c r="I46" s="135"/>
      <c r="J46" s="135"/>
      <c r="K46" s="133"/>
      <c r="L46" s="133"/>
      <c r="M46" s="133"/>
      <c r="N46" s="130"/>
    </row>
    <row r="47" spans="2:14" ht="6" customHeight="1" x14ac:dyDescent="0.2">
      <c r="B47" s="119"/>
      <c r="C47" s="141"/>
      <c r="D47" s="142"/>
      <c r="E47" s="142"/>
      <c r="F47" s="142"/>
      <c r="G47" s="135"/>
      <c r="H47" s="135"/>
      <c r="I47" s="135"/>
      <c r="J47" s="135"/>
      <c r="K47" s="133"/>
      <c r="L47" s="133"/>
      <c r="M47" s="133"/>
      <c r="N47" s="130"/>
    </row>
    <row r="48" spans="2:14" ht="24" x14ac:dyDescent="0.2">
      <c r="B48" s="119"/>
      <c r="C48" s="132"/>
      <c r="D48" s="53" t="s">
        <v>56</v>
      </c>
      <c r="E48" s="54" t="s">
        <v>57</v>
      </c>
      <c r="F48" s="54" t="s">
        <v>58</v>
      </c>
      <c r="G48" s="55" t="s">
        <v>59</v>
      </c>
      <c r="H48" s="54" t="s">
        <v>60</v>
      </c>
      <c r="I48" s="54" t="s">
        <v>61</v>
      </c>
      <c r="J48" s="55" t="s">
        <v>62</v>
      </c>
      <c r="K48" s="52" t="s">
        <v>63</v>
      </c>
      <c r="L48" s="133"/>
      <c r="M48" s="133"/>
      <c r="N48" s="130"/>
    </row>
    <row r="49" spans="2:14" x14ac:dyDescent="0.2">
      <c r="B49" s="119"/>
      <c r="C49" s="133" t="s">
        <v>52</v>
      </c>
      <c r="D49" s="134">
        <f>COUNTIF('CheckSheet 1 Design&amp;Devlp pg.4'!$J$15:$J$99,C49)</f>
        <v>0</v>
      </c>
      <c r="E49" s="134">
        <f>COUNTIF('CheckSheet 2 General pg.5'!$J$15:$J$101,C49)</f>
        <v>0</v>
      </c>
      <c r="F49" s="134">
        <f>COUNTIF('CheckSheet 3 Layout pg.6'!$J$15:$J$100,C49)</f>
        <v>0</v>
      </c>
      <c r="G49" s="135">
        <f>COUNTIF('CheckSheet 4 Coverings&amp;Com pg.7'!$J$15:$J$99,C49)</f>
        <v>0</v>
      </c>
      <c r="H49" s="134">
        <f>COUNTIF('CheckSheet 5 Wire pg.8'!$J$15:$J$99,C49)</f>
        <v>0</v>
      </c>
      <c r="I49" s="134">
        <f>COUNTIF('CheckSheet 6 Splicing pg.9'!$J$15:$J$100,C49)</f>
        <v>0</v>
      </c>
      <c r="J49" s="135">
        <f>COUNTIF('CheckSheet 7 High Voltage pg.10'!$J$15:$J$100,C49)</f>
        <v>0</v>
      </c>
      <c r="K49" s="143">
        <f>SUM(D49:J49)</f>
        <v>0</v>
      </c>
      <c r="L49" s="137">
        <f>IFERROR(K49/SUM($K$49:$K$51),0)</f>
        <v>0</v>
      </c>
      <c r="M49" s="137"/>
      <c r="N49" s="130"/>
    </row>
    <row r="50" spans="2:14" x14ac:dyDescent="0.2">
      <c r="B50" s="119"/>
      <c r="C50" s="133" t="s">
        <v>53</v>
      </c>
      <c r="D50" s="134">
        <f>COUNTIF('CheckSheet 1 Design&amp;Devlp pg.4'!$J$15:$J$99,C50)</f>
        <v>0</v>
      </c>
      <c r="E50" s="134">
        <f>COUNTIF('CheckSheet 2 General pg.5'!$J$15:$J$101,C50)</f>
        <v>0</v>
      </c>
      <c r="F50" s="134">
        <f>COUNTIF('CheckSheet 3 Layout pg.6'!$J$15:$J$100,C50)</f>
        <v>0</v>
      </c>
      <c r="G50" s="135">
        <f>COUNTIF('CheckSheet 4 Coverings&amp;Com pg.7'!$J$15:$J$99,C50)</f>
        <v>0</v>
      </c>
      <c r="H50" s="134">
        <f>COUNTIF('CheckSheet 5 Wire pg.8'!$J$15:$J$99,C50)</f>
        <v>0</v>
      </c>
      <c r="I50" s="134">
        <f>COUNTIF('CheckSheet 6 Splicing pg.9'!$J$15:$J$100,C50)</f>
        <v>0</v>
      </c>
      <c r="J50" s="135">
        <f>COUNTIF('CheckSheet 7 High Voltage pg.10'!$J$15:$J$100,C50)</f>
        <v>0</v>
      </c>
      <c r="K50" s="143">
        <f>SUM(D50:J50)</f>
        <v>0</v>
      </c>
      <c r="L50" s="137">
        <f>IFERROR(K50/SUM($K$49:$K$51),0)</f>
        <v>0</v>
      </c>
      <c r="M50" s="137"/>
      <c r="N50" s="130"/>
    </row>
    <row r="51" spans="2:14" x14ac:dyDescent="0.2">
      <c r="B51" s="119"/>
      <c r="C51" s="133" t="s">
        <v>54</v>
      </c>
      <c r="D51" s="134">
        <f>COUNTIF('CheckSheet 1 Design&amp;Devlp pg.4'!$J$15:$J$99,C51)</f>
        <v>13</v>
      </c>
      <c r="E51" s="134">
        <f>COUNTIF('CheckSheet 2 General pg.5'!$J$15:$J$101,C51)</f>
        <v>25</v>
      </c>
      <c r="F51" s="134">
        <f>COUNTIF('CheckSheet 3 Layout pg.6'!$J$15:$J$100,C51)</f>
        <v>14</v>
      </c>
      <c r="G51" s="135">
        <f>COUNTIF('CheckSheet 4 Coverings&amp;Com pg.7'!$J$15:$J$99,C51)</f>
        <v>11</v>
      </c>
      <c r="H51" s="134">
        <f>COUNTIF('CheckSheet 5 Wire pg.8'!$J$15:$J$99,C51)</f>
        <v>13</v>
      </c>
      <c r="I51" s="134">
        <f>COUNTIF('CheckSheet 6 Splicing pg.9'!$J$15:$J$100,C51)</f>
        <v>23</v>
      </c>
      <c r="J51" s="135">
        <f>COUNTIF('CheckSheet 7 High Voltage pg.10'!$J$15:$J$100,C51)</f>
        <v>6</v>
      </c>
      <c r="K51" s="143">
        <f>SUM(D51:J51)</f>
        <v>105</v>
      </c>
      <c r="L51" s="137">
        <f>IFERROR(K51/SUM($K$49:$K$51),0)</f>
        <v>1</v>
      </c>
      <c r="M51" s="137"/>
      <c r="N51" s="130"/>
    </row>
    <row r="52" spans="2:14" x14ac:dyDescent="0.2">
      <c r="B52" s="119"/>
      <c r="C52" s="133" t="s">
        <v>64</v>
      </c>
      <c r="D52" s="134">
        <f>COUNTIF('CheckSheet 1 Design&amp;Devlp pg.4'!$J$15:$J$99,C52)</f>
        <v>0</v>
      </c>
      <c r="E52" s="134">
        <f>COUNTIF('CheckSheet 2 General pg.5'!$J$15:$J$101,C52)</f>
        <v>0</v>
      </c>
      <c r="F52" s="134">
        <f>COUNTIF('CheckSheet 3 Layout pg.6'!$J$15:$J$100,C52)</f>
        <v>0</v>
      </c>
      <c r="G52" s="135">
        <f>COUNTIF('CheckSheet 4 Coverings&amp;Com pg.7'!$J$15:$J$99,C52)</f>
        <v>0</v>
      </c>
      <c r="H52" s="134">
        <f>COUNTIF('CheckSheet 5 Wire pg.8'!$J$15:$J$99,C52)</f>
        <v>0</v>
      </c>
      <c r="I52" s="134">
        <f>COUNTIF('CheckSheet 6 Splicing pg.9'!$J$15:$J$100,C52)</f>
        <v>0</v>
      </c>
      <c r="J52" s="135">
        <f>COUNTIF('CheckSheet 7 High Voltage pg.10'!$J$15:$J$100,C52)</f>
        <v>0</v>
      </c>
      <c r="K52" s="143">
        <f>SUM(D52:J52)</f>
        <v>0</v>
      </c>
      <c r="L52" s="137"/>
      <c r="M52" s="137"/>
      <c r="N52" s="130"/>
    </row>
    <row r="53" spans="2:14" x14ac:dyDescent="0.2">
      <c r="B53" s="119"/>
      <c r="C53" s="138" t="s">
        <v>65</v>
      </c>
      <c r="D53" s="139">
        <f>SUM(D49:D52)</f>
        <v>13</v>
      </c>
      <c r="E53" s="139">
        <f t="shared" ref="E53:J53" si="4">SUM(E49:E52)</f>
        <v>25</v>
      </c>
      <c r="F53" s="139">
        <f t="shared" si="4"/>
        <v>14</v>
      </c>
      <c r="G53" s="139">
        <f t="shared" si="4"/>
        <v>11</v>
      </c>
      <c r="H53" s="139">
        <f t="shared" si="4"/>
        <v>13</v>
      </c>
      <c r="I53" s="139">
        <f t="shared" si="4"/>
        <v>23</v>
      </c>
      <c r="J53" s="139">
        <f t="shared" si="4"/>
        <v>6</v>
      </c>
      <c r="K53" s="140">
        <f>SUM(K49:K52)</f>
        <v>105</v>
      </c>
      <c r="L53" s="137"/>
      <c r="M53" s="137"/>
      <c r="N53" s="130"/>
    </row>
    <row r="54" spans="2:14" x14ac:dyDescent="0.2">
      <c r="B54" s="119"/>
      <c r="C54" s="129"/>
      <c r="D54" s="129"/>
      <c r="E54" s="129"/>
      <c r="F54" s="129"/>
      <c r="G54" s="129"/>
      <c r="H54" s="129"/>
      <c r="I54" s="129"/>
      <c r="J54" s="129"/>
      <c r="K54" s="129"/>
      <c r="L54" s="129"/>
      <c r="M54" s="129"/>
      <c r="N54" s="130"/>
    </row>
    <row r="55" spans="2:14" hidden="1" x14ac:dyDescent="0.2">
      <c r="B55" s="119"/>
      <c r="C55" s="141" t="s">
        <v>50</v>
      </c>
      <c r="D55" s="142"/>
      <c r="E55" s="142"/>
      <c r="F55" s="142"/>
      <c r="G55" s="135"/>
      <c r="H55" s="135"/>
      <c r="I55" s="135"/>
      <c r="J55" s="135"/>
      <c r="K55" s="133"/>
      <c r="L55" s="133"/>
      <c r="M55" s="133"/>
      <c r="N55" s="130"/>
    </row>
    <row r="56" spans="2:14" hidden="1" x14ac:dyDescent="0.2">
      <c r="B56" s="119"/>
      <c r="C56" s="141"/>
      <c r="D56" s="142"/>
      <c r="E56" s="142"/>
      <c r="F56" s="142"/>
      <c r="G56" s="135"/>
      <c r="H56" s="135"/>
      <c r="I56" s="135"/>
      <c r="J56" s="135"/>
      <c r="K56" s="133"/>
      <c r="L56" s="133"/>
      <c r="M56" s="133"/>
      <c r="N56" s="130"/>
    </row>
    <row r="57" spans="2:14" ht="24" hidden="1" x14ac:dyDescent="0.2">
      <c r="B57" s="119"/>
      <c r="C57" s="132"/>
      <c r="D57" s="53" t="s">
        <v>56</v>
      </c>
      <c r="E57" s="50" t="s">
        <v>57</v>
      </c>
      <c r="F57" s="50" t="s">
        <v>58</v>
      </c>
      <c r="G57" s="51" t="s">
        <v>59</v>
      </c>
      <c r="H57" s="50" t="s">
        <v>60</v>
      </c>
      <c r="I57" s="50" t="s">
        <v>61</v>
      </c>
      <c r="J57" s="51" t="s">
        <v>62</v>
      </c>
      <c r="K57" s="52" t="s">
        <v>63</v>
      </c>
      <c r="L57" s="133"/>
      <c r="M57" s="133"/>
      <c r="N57" s="130"/>
    </row>
    <row r="58" spans="2:14" hidden="1" x14ac:dyDescent="0.2">
      <c r="B58" s="119"/>
      <c r="C58" s="133" t="s">
        <v>66</v>
      </c>
      <c r="D58" s="134">
        <f>COUNTIF('CheckSheet 1 Design&amp;Devlp pg.4'!$L$15:$L$99,C58)</f>
        <v>0</v>
      </c>
      <c r="E58" s="134">
        <f>COUNTIF('CheckSheet 2 General pg.5'!$L$15:$L$101,C58)</f>
        <v>0</v>
      </c>
      <c r="F58" s="134">
        <f>COUNTIF('CheckSheet 3 Layout pg.6'!$L$15:$L$100,C58)</f>
        <v>0</v>
      </c>
      <c r="G58" s="135">
        <f>COUNTIF('CheckSheet 4 Coverings&amp;Com pg.7'!$L$15:$L$99,C58)</f>
        <v>0</v>
      </c>
      <c r="H58" s="134">
        <f>COUNTIF('CheckSheet 5 Wire pg.8'!$L$15:$L$99,C58)</f>
        <v>0</v>
      </c>
      <c r="I58" s="134">
        <f>COUNTIF('CheckSheet 6 Splicing pg.9'!$L$15:$L$100,C58)</f>
        <v>0</v>
      </c>
      <c r="J58" s="135">
        <f>COUNTIF('CheckSheet 7 High Voltage pg.10'!$L$15:$L$100,C58)</f>
        <v>0</v>
      </c>
      <c r="K58" s="143">
        <f>SUM(D58:J58)</f>
        <v>0</v>
      </c>
      <c r="L58" s="137">
        <f>IFERROR(K58/SUM($K$58:$K$60),0)</f>
        <v>0</v>
      </c>
      <c r="M58" s="137"/>
      <c r="N58" s="130"/>
    </row>
    <row r="59" spans="2:14" hidden="1" x14ac:dyDescent="0.2">
      <c r="B59" s="119"/>
      <c r="C59" s="133" t="s">
        <v>67</v>
      </c>
      <c r="D59" s="134">
        <f>COUNTIF('CheckSheet 1 Design&amp;Devlp pg.4'!$L$15:$L$99,C59)</f>
        <v>0</v>
      </c>
      <c r="E59" s="134">
        <f>COUNTIF('CheckSheet 2 General pg.5'!$L$15:$L$101,C59)</f>
        <v>0</v>
      </c>
      <c r="F59" s="134">
        <f>COUNTIF('CheckSheet 3 Layout pg.6'!$L$15:$L$100,C59)</f>
        <v>0</v>
      </c>
      <c r="G59" s="135">
        <f>COUNTIF('CheckSheet 4 Coverings&amp;Com pg.7'!$L$15:$L$99,C59)</f>
        <v>0</v>
      </c>
      <c r="H59" s="134">
        <f>COUNTIF('CheckSheet 5 Wire pg.8'!$L$15:$L$99,C59)</f>
        <v>0</v>
      </c>
      <c r="I59" s="134">
        <f>COUNTIF('CheckSheet 6 Splicing pg.9'!$L$15:$L$100,C59)</f>
        <v>0</v>
      </c>
      <c r="J59" s="135">
        <f>COUNTIF('CheckSheet 7 High Voltage pg.10'!$L$15:$L$100,C59)</f>
        <v>0</v>
      </c>
      <c r="K59" s="143">
        <f>SUM(D59:J59)</f>
        <v>0</v>
      </c>
      <c r="L59" s="137">
        <f>IFERROR(K59/SUM($K$58:$K$60),0)</f>
        <v>0</v>
      </c>
      <c r="M59" s="137"/>
      <c r="N59" s="130"/>
    </row>
    <row r="60" spans="2:14" hidden="1" x14ac:dyDescent="0.2">
      <c r="B60" s="119"/>
      <c r="C60" s="133" t="s">
        <v>68</v>
      </c>
      <c r="D60" s="134">
        <f>COUNTIF('CheckSheet 1 Design&amp;Devlp pg.4'!$L$15:$L$99,C60)</f>
        <v>0</v>
      </c>
      <c r="E60" s="134">
        <f>COUNTIF('CheckSheet 2 General pg.5'!$L$15:$L$101,C60)</f>
        <v>0</v>
      </c>
      <c r="F60" s="134">
        <f>COUNTIF('CheckSheet 3 Layout pg.6'!$L$15:$L$100,C60)</f>
        <v>0</v>
      </c>
      <c r="G60" s="135">
        <f>COUNTIF('CheckSheet 4 Coverings&amp;Com pg.7'!$L$15:$L$99,C60)</f>
        <v>0</v>
      </c>
      <c r="H60" s="134">
        <f>COUNTIF('CheckSheet 5 Wire pg.8'!$L$15:$L$99,C60)</f>
        <v>0</v>
      </c>
      <c r="I60" s="134">
        <f>COUNTIF('CheckSheet 6 Splicing pg.9'!$L$15:$L$100,C60)</f>
        <v>0</v>
      </c>
      <c r="J60" s="135">
        <f>COUNTIF('CheckSheet 7 High Voltage pg.10'!$L$15:$L$100,C60)</f>
        <v>0</v>
      </c>
      <c r="K60" s="143">
        <f>SUM(D60:J60)</f>
        <v>0</v>
      </c>
      <c r="L60" s="137">
        <f>IFERROR(K60/SUM($K$58:$K$60),0)</f>
        <v>0</v>
      </c>
      <c r="M60" s="137"/>
      <c r="N60" s="130"/>
    </row>
    <row r="61" spans="2:14" hidden="1" x14ac:dyDescent="0.2">
      <c r="B61" s="119"/>
      <c r="C61" s="138" t="s">
        <v>65</v>
      </c>
      <c r="D61" s="139">
        <f t="shared" ref="D61:K61" si="5">SUM(D58:D60)</f>
        <v>0</v>
      </c>
      <c r="E61" s="139">
        <f t="shared" si="5"/>
        <v>0</v>
      </c>
      <c r="F61" s="139">
        <f t="shared" si="5"/>
        <v>0</v>
      </c>
      <c r="G61" s="139">
        <f t="shared" si="5"/>
        <v>0</v>
      </c>
      <c r="H61" s="139">
        <f t="shared" si="5"/>
        <v>0</v>
      </c>
      <c r="I61" s="136">
        <f t="shared" si="5"/>
        <v>0</v>
      </c>
      <c r="J61" s="144">
        <f t="shared" si="5"/>
        <v>0</v>
      </c>
      <c r="K61" s="140">
        <f t="shared" si="5"/>
        <v>0</v>
      </c>
      <c r="L61" s="137"/>
      <c r="M61" s="137"/>
      <c r="N61" s="130"/>
    </row>
    <row r="62" spans="2:14" hidden="1" x14ac:dyDescent="0.2">
      <c r="B62" s="119"/>
      <c r="C62" s="133"/>
      <c r="D62" s="133"/>
      <c r="E62" s="133"/>
      <c r="F62" s="133"/>
      <c r="G62" s="133"/>
      <c r="H62" s="133"/>
      <c r="I62" s="133"/>
      <c r="J62" s="133"/>
      <c r="K62" s="133"/>
      <c r="L62" s="133"/>
      <c r="M62" s="133"/>
      <c r="N62" s="145"/>
    </row>
    <row r="63" spans="2:14" ht="13.5" thickBot="1" x14ac:dyDescent="0.25">
      <c r="B63" s="124"/>
      <c r="C63" s="125"/>
      <c r="D63" s="125"/>
      <c r="E63" s="125"/>
      <c r="F63" s="125"/>
      <c r="G63" s="125"/>
      <c r="H63" s="125"/>
      <c r="I63" s="125"/>
      <c r="J63" s="125"/>
      <c r="K63" s="125"/>
      <c r="L63" s="125"/>
      <c r="M63" s="125"/>
      <c r="N63" s="126"/>
    </row>
  </sheetData>
  <sheetProtection algorithmName="SHA-512" hashValue="wou4P2IYmjaeabg9vNxNtUy+93J8dOQaRRwPuWPN8s3JNSyEL4R3ADnPwDpdJk5WTJXJ58L3fc6yxojNcqqiaQ==" saltValue="IEbEfhPqO8wyRaS48cAPXQ==" spinCount="100000" sheet="1" objects="1" scenarios="1"/>
  <conditionalFormatting sqref="D43">
    <cfRule type="cellIs" dxfId="84" priority="70" operator="lessThan">
      <formula>13</formula>
    </cfRule>
    <cfRule type="expression" dxfId="83" priority="71">
      <formula>AND(13,$D$41&gt;0)</formula>
    </cfRule>
    <cfRule type="expression" dxfId="82" priority="72">
      <formula>AND(13,$D$41=0)</formula>
    </cfRule>
  </conditionalFormatting>
  <conditionalFormatting sqref="D53">
    <cfRule type="cellIs" dxfId="81" priority="22" operator="lessThan">
      <formula>13</formula>
    </cfRule>
    <cfRule type="expression" dxfId="80" priority="23">
      <formula>AND(13,$D$51&gt;0)</formula>
    </cfRule>
    <cfRule type="expression" dxfId="79" priority="24">
      <formula>AND(13,$D$51=0)</formula>
    </cfRule>
  </conditionalFormatting>
  <conditionalFormatting sqref="D61">
    <cfRule type="cellIs" dxfId="78" priority="93" operator="equal">
      <formula>14</formula>
    </cfRule>
    <cfRule type="cellIs" dxfId="77" priority="94" operator="lessThan">
      <formula>14</formula>
    </cfRule>
  </conditionalFormatting>
  <conditionalFormatting sqref="E43">
    <cfRule type="cellIs" dxfId="76" priority="67" operator="lessThan">
      <formula>25</formula>
    </cfRule>
    <cfRule type="expression" dxfId="75" priority="68">
      <formula>AND(25,$E$41&gt;0)</formula>
    </cfRule>
    <cfRule type="expression" dxfId="74" priority="69">
      <formula>AND(25,$E$41=0)</formula>
    </cfRule>
  </conditionalFormatting>
  <conditionalFormatting sqref="E53">
    <cfRule type="cellIs" dxfId="73" priority="19" operator="lessThan">
      <formula>25</formula>
    </cfRule>
    <cfRule type="expression" dxfId="72" priority="20">
      <formula>AND(25,$E$51&gt;0)</formula>
    </cfRule>
    <cfRule type="expression" dxfId="71" priority="21">
      <formula>AND(25,$E$51=0)</formula>
    </cfRule>
  </conditionalFormatting>
  <conditionalFormatting sqref="E61">
    <cfRule type="cellIs" dxfId="70" priority="81" operator="equal">
      <formula>25</formula>
    </cfRule>
    <cfRule type="cellIs" dxfId="69" priority="82" operator="lessThan">
      <formula>25</formula>
    </cfRule>
  </conditionalFormatting>
  <conditionalFormatting sqref="F43">
    <cfRule type="cellIs" dxfId="68" priority="64" operator="lessThan">
      <formula>14</formula>
    </cfRule>
    <cfRule type="expression" dxfId="67" priority="65">
      <formula>AND(14,$F$41&gt;0)</formula>
    </cfRule>
    <cfRule type="expression" dxfId="66" priority="66">
      <formula>AND(14,$F$41=0)</formula>
    </cfRule>
  </conditionalFormatting>
  <conditionalFormatting sqref="F53">
    <cfRule type="cellIs" dxfId="65" priority="16" operator="lessThan">
      <formula>14</formula>
    </cfRule>
    <cfRule type="expression" dxfId="64" priority="17">
      <formula>AND(14,$F$51&gt;0)</formula>
    </cfRule>
    <cfRule type="expression" dxfId="63" priority="18">
      <formula>AND(14,$F$51=0)</formula>
    </cfRule>
  </conditionalFormatting>
  <conditionalFormatting sqref="F61">
    <cfRule type="cellIs" dxfId="62" priority="91" operator="equal">
      <formula>15</formula>
    </cfRule>
    <cfRule type="cellIs" dxfId="61" priority="92" operator="lessThan">
      <formula>15</formula>
    </cfRule>
  </conditionalFormatting>
  <conditionalFormatting sqref="G43">
    <cfRule type="cellIs" dxfId="60" priority="61" operator="lessThan">
      <formula>11</formula>
    </cfRule>
    <cfRule type="expression" dxfId="59" priority="62">
      <formula>AND(11,$G$41&gt;0)</formula>
    </cfRule>
    <cfRule type="expression" dxfId="58" priority="63">
      <formula>AND(11,$G$41=0)</formula>
    </cfRule>
  </conditionalFormatting>
  <conditionalFormatting sqref="G53">
    <cfRule type="cellIs" dxfId="57" priority="13" operator="lessThan">
      <formula>11</formula>
    </cfRule>
    <cfRule type="expression" dxfId="56" priority="14">
      <formula>AND(11,$G$51&gt;0)</formula>
    </cfRule>
    <cfRule type="expression" dxfId="55" priority="15">
      <formula>AND(11,$G$51=0)</formula>
    </cfRule>
  </conditionalFormatting>
  <conditionalFormatting sqref="G61">
    <cfRule type="cellIs" dxfId="54" priority="89" operator="lessThan">
      <formula>13</formula>
    </cfRule>
    <cfRule type="cellIs" dxfId="53" priority="90" operator="equal">
      <formula>13</formula>
    </cfRule>
  </conditionalFormatting>
  <conditionalFormatting sqref="H43">
    <cfRule type="cellIs" dxfId="52" priority="58" operator="lessThan">
      <formula>13</formula>
    </cfRule>
    <cfRule type="expression" dxfId="51" priority="59">
      <formula>AND(13,$H$41&gt;0)</formula>
    </cfRule>
    <cfRule type="expression" dxfId="50" priority="60">
      <formula>AND(13,$H$41=0)</formula>
    </cfRule>
  </conditionalFormatting>
  <conditionalFormatting sqref="H53">
    <cfRule type="cellIs" dxfId="49" priority="10" operator="lessThan">
      <formula>13</formula>
    </cfRule>
    <cfRule type="expression" dxfId="48" priority="11">
      <formula>AND(13,$H$51&gt;0)</formula>
    </cfRule>
    <cfRule type="expression" dxfId="47" priority="12">
      <formula>AND(13,$H$51=0)</formula>
    </cfRule>
  </conditionalFormatting>
  <conditionalFormatting sqref="H61">
    <cfRule type="cellIs" dxfId="46" priority="87" operator="equal">
      <formula>15</formula>
    </cfRule>
    <cfRule type="cellIs" dxfId="45" priority="88" operator="lessThan">
      <formula>15</formula>
    </cfRule>
  </conditionalFormatting>
  <conditionalFormatting sqref="I43">
    <cfRule type="cellIs" dxfId="44" priority="55" operator="lessThan">
      <formula>23</formula>
    </cfRule>
    <cfRule type="expression" dxfId="43" priority="56">
      <formula>AND(23,$I$41&gt;0)</formula>
    </cfRule>
    <cfRule type="expression" dxfId="42" priority="57">
      <formula>AND(23,$I$41=0)</formula>
    </cfRule>
  </conditionalFormatting>
  <conditionalFormatting sqref="I53">
    <cfRule type="cellIs" dxfId="41" priority="7" operator="lessThan">
      <formula>23</formula>
    </cfRule>
    <cfRule type="expression" dxfId="40" priority="8">
      <formula>AND(23,$I$51&gt;0)</formula>
    </cfRule>
    <cfRule type="expression" dxfId="39" priority="9">
      <formula>AND(23,$I$51=0)</formula>
    </cfRule>
  </conditionalFormatting>
  <conditionalFormatting sqref="I61">
    <cfRule type="cellIs" dxfId="38" priority="85" operator="equal">
      <formula>23</formula>
    </cfRule>
    <cfRule type="cellIs" dxfId="37" priority="86" operator="lessThan">
      <formula>23</formula>
    </cfRule>
  </conditionalFormatting>
  <conditionalFormatting sqref="J43">
    <cfRule type="cellIs" dxfId="36" priority="52" operator="lessThan">
      <formula>6</formula>
    </cfRule>
    <cfRule type="expression" dxfId="35" priority="53">
      <formula>AND(6,$J$41&gt;0)</formula>
    </cfRule>
    <cfRule type="expression" dxfId="34" priority="54">
      <formula>AND(6,$J$41=0)</formula>
    </cfRule>
  </conditionalFormatting>
  <conditionalFormatting sqref="J53">
    <cfRule type="cellIs" dxfId="33" priority="4" operator="lessThan">
      <formula>6</formula>
    </cfRule>
    <cfRule type="expression" dxfId="32" priority="5">
      <formula>AND(6,$J$51&gt;0)</formula>
    </cfRule>
    <cfRule type="expression" dxfId="31" priority="6">
      <formula>AND(6,$J$51=0)</formula>
    </cfRule>
  </conditionalFormatting>
  <conditionalFormatting sqref="J61">
    <cfRule type="cellIs" dxfId="30" priority="83" operator="equal">
      <formula>6</formula>
    </cfRule>
    <cfRule type="cellIs" dxfId="29" priority="84" operator="lessThan">
      <formula>6</formula>
    </cfRule>
  </conditionalFormatting>
  <conditionalFormatting sqref="K43">
    <cfRule type="cellIs" dxfId="28" priority="49" operator="lessThan">
      <formula>105</formula>
    </cfRule>
    <cfRule type="expression" dxfId="27" priority="50">
      <formula>AND(105,$K$41&gt;0)</formula>
    </cfRule>
    <cfRule type="expression" dxfId="26" priority="51">
      <formula>AND(105,$K$41=0)</formula>
    </cfRule>
  </conditionalFormatting>
  <conditionalFormatting sqref="K53">
    <cfRule type="cellIs" dxfId="25" priority="1" operator="lessThan">
      <formula>105</formula>
    </cfRule>
    <cfRule type="expression" dxfId="24" priority="2">
      <formula>AND(105,$K$51&gt;0)</formula>
    </cfRule>
    <cfRule type="expression" dxfId="23" priority="3">
      <formula>AND(105,$K$51=0)</formula>
    </cfRule>
  </conditionalFormatting>
  <conditionalFormatting sqref="K61">
    <cfRule type="cellIs" dxfId="22" priority="95" operator="equal">
      <formula>111</formula>
    </cfRule>
    <cfRule type="cellIs" dxfId="21" priority="96" operator="lessThan">
      <formula>111</formula>
    </cfRule>
  </conditionalFormatting>
  <printOptions horizontalCentered="1"/>
  <pageMargins left="0" right="0" top="0" bottom="0" header="0" footer="0"/>
  <pageSetup paperSize="9" scale="59" orientation="portrait" r:id="rId1"/>
  <headerFooter alignWithMargins="0">
    <oddHeader xml:space="preserve">&amp;C           </oddHeader>
    <oddFooter>&amp;LEA-EN-WH-P-009-F-01; Rev 7.0; 4.18.2024</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7EFE-7D3C-4531-9AFF-ADDBA98A8E57}">
  <sheetPr>
    <pageSetUpPr fitToPage="1"/>
  </sheetPr>
  <dimension ref="B1:Y53"/>
  <sheetViews>
    <sheetView showGridLines="0" topLeftCell="A14" zoomScale="115" zoomScaleNormal="115" zoomScaleSheetLayoutView="100" zoomScalePageLayoutView="66" workbookViewId="0">
      <selection activeCell="H30" sqref="H30"/>
    </sheetView>
  </sheetViews>
  <sheetFormatPr defaultColWidth="9.140625" defaultRowHeight="12.75" x14ac:dyDescent="0.2"/>
  <cols>
    <col min="1" max="1" width="5.1406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228"/>
      <c r="C2" s="229"/>
      <c r="D2" s="230"/>
      <c r="E2" s="178" t="s">
        <v>0</v>
      </c>
      <c r="F2" s="179"/>
      <c r="G2" s="179"/>
      <c r="H2" s="179"/>
      <c r="I2" s="179"/>
      <c r="J2" s="179"/>
      <c r="K2" s="233"/>
      <c r="L2" s="2" t="s">
        <v>1</v>
      </c>
    </row>
    <row r="3" spans="2:14" ht="14.25" customHeight="1" x14ac:dyDescent="0.2">
      <c r="B3" s="231"/>
      <c r="C3" s="224"/>
      <c r="D3" s="232"/>
      <c r="E3" s="180"/>
      <c r="F3" s="181"/>
      <c r="G3" s="181"/>
      <c r="H3" s="181"/>
      <c r="I3" s="181"/>
      <c r="J3" s="181"/>
      <c r="K3" s="234"/>
      <c r="L3" s="13" t="str">
        <f>'Work Instruction pg.1'!K3</f>
        <v>18/04/2024</v>
      </c>
    </row>
    <row r="4" spans="2:14" ht="14.25" customHeight="1" x14ac:dyDescent="0.2">
      <c r="B4" s="182" t="s">
        <v>2</v>
      </c>
      <c r="C4" s="183"/>
      <c r="D4" s="184"/>
      <c r="E4" s="185" t="s">
        <v>3</v>
      </c>
      <c r="F4" s="186"/>
      <c r="G4" s="186"/>
      <c r="H4" s="186"/>
      <c r="I4" s="186"/>
      <c r="J4" s="186"/>
      <c r="K4" s="187"/>
      <c r="L4" s="3" t="s">
        <v>4</v>
      </c>
    </row>
    <row r="5" spans="2:14" ht="14.25" customHeight="1" x14ac:dyDescent="0.2">
      <c r="B5" s="235" t="s">
        <v>5</v>
      </c>
      <c r="C5" s="236"/>
      <c r="D5" s="237"/>
      <c r="E5" s="188"/>
      <c r="F5" s="189"/>
      <c r="G5" s="189"/>
      <c r="H5" s="189"/>
      <c r="I5" s="189"/>
      <c r="J5" s="189"/>
      <c r="K5" s="190"/>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4"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46</v>
      </c>
      <c r="H11" s="227"/>
      <c r="I11" s="61"/>
      <c r="J11" s="226" t="s">
        <v>48</v>
      </c>
      <c r="K11" s="227"/>
      <c r="L11" s="62"/>
      <c r="M11" s="26"/>
      <c r="N11" s="29"/>
    </row>
    <row r="12" spans="2:14" ht="27" customHeight="1" x14ac:dyDescent="0.2">
      <c r="B12" s="242"/>
      <c r="C12" s="211"/>
      <c r="D12" s="211"/>
      <c r="E12" s="211"/>
      <c r="F12" s="243"/>
      <c r="G12" s="247" t="s">
        <v>71</v>
      </c>
      <c r="H12" s="247" t="s">
        <v>72</v>
      </c>
      <c r="I12" s="247" t="s">
        <v>73</v>
      </c>
      <c r="J12" s="247" t="s">
        <v>74</v>
      </c>
      <c r="K12" s="252" t="s">
        <v>21</v>
      </c>
      <c r="L12" s="247"/>
      <c r="M12" s="26"/>
      <c r="N12" s="29"/>
    </row>
    <row r="13" spans="2:14" ht="42" customHeight="1" x14ac:dyDescent="0.2">
      <c r="B13" s="244"/>
      <c r="C13" s="245"/>
      <c r="D13" s="245"/>
      <c r="E13" s="245"/>
      <c r="F13" s="246"/>
      <c r="G13" s="248"/>
      <c r="H13" s="248"/>
      <c r="I13" s="248"/>
      <c r="J13" s="248"/>
      <c r="K13" s="253"/>
      <c r="L13" s="248"/>
      <c r="M13" s="26"/>
      <c r="N13" s="29"/>
    </row>
    <row r="14" spans="2:14" ht="24.6" customHeight="1" x14ac:dyDescent="0.2">
      <c r="B14" s="63" t="s">
        <v>75</v>
      </c>
      <c r="C14" s="249" t="s">
        <v>76</v>
      </c>
      <c r="D14" s="250"/>
      <c r="E14" s="250"/>
      <c r="F14" s="251"/>
      <c r="G14" s="113"/>
      <c r="H14" s="114"/>
      <c r="I14" s="114"/>
      <c r="J14" s="114"/>
      <c r="K14" s="114"/>
      <c r="L14" s="115"/>
      <c r="M14" s="26"/>
      <c r="N14" s="29"/>
    </row>
    <row r="15" spans="2:14" ht="24.6" customHeight="1" x14ac:dyDescent="0.2">
      <c r="B15" s="64" t="s">
        <v>77</v>
      </c>
      <c r="C15" s="241" t="s">
        <v>78</v>
      </c>
      <c r="D15" s="241"/>
      <c r="E15" s="241"/>
      <c r="F15" s="241"/>
      <c r="G15" s="65" t="s">
        <v>52</v>
      </c>
      <c r="H15" s="65"/>
      <c r="I15" s="65"/>
      <c r="J15" s="65" t="s">
        <v>54</v>
      </c>
      <c r="K15" s="66"/>
      <c r="L15" s="67"/>
      <c r="M15" s="26"/>
      <c r="N15" s="29"/>
    </row>
    <row r="16" spans="2:14" ht="24.6" customHeight="1" x14ac:dyDescent="0.2">
      <c r="B16" s="64" t="s">
        <v>79</v>
      </c>
      <c r="C16" s="241" t="s">
        <v>80</v>
      </c>
      <c r="D16" s="241"/>
      <c r="E16" s="241"/>
      <c r="F16" s="241"/>
      <c r="G16" s="65" t="s">
        <v>52</v>
      </c>
      <c r="H16" s="65"/>
      <c r="I16" s="65"/>
      <c r="J16" s="65" t="s">
        <v>54</v>
      </c>
      <c r="K16" s="66"/>
      <c r="L16" s="67"/>
      <c r="M16" s="26"/>
      <c r="N16" s="29"/>
    </row>
    <row r="17" spans="2:25" ht="24.6" customHeight="1" x14ac:dyDescent="0.2">
      <c r="B17" s="64" t="s">
        <v>81</v>
      </c>
      <c r="C17" s="241" t="s">
        <v>82</v>
      </c>
      <c r="D17" s="241"/>
      <c r="E17" s="241"/>
      <c r="F17" s="241"/>
      <c r="G17" s="65" t="s">
        <v>52</v>
      </c>
      <c r="H17" s="65"/>
      <c r="I17" s="65"/>
      <c r="J17" s="65" t="s">
        <v>54</v>
      </c>
      <c r="K17" s="66"/>
      <c r="L17" s="67"/>
      <c r="M17" s="26"/>
      <c r="N17" s="29"/>
      <c r="R17" s="1" t="s">
        <v>9</v>
      </c>
    </row>
    <row r="18" spans="2:25" ht="39.75" customHeight="1" x14ac:dyDescent="0.2">
      <c r="B18" s="64" t="s">
        <v>83</v>
      </c>
      <c r="C18" s="241" t="s">
        <v>84</v>
      </c>
      <c r="D18" s="241"/>
      <c r="E18" s="241"/>
      <c r="F18" s="241"/>
      <c r="G18" s="65" t="s">
        <v>52</v>
      </c>
      <c r="H18" s="65"/>
      <c r="I18" s="65"/>
      <c r="J18" s="65" t="s">
        <v>54</v>
      </c>
      <c r="K18" s="66"/>
      <c r="L18" s="67"/>
      <c r="M18" s="31"/>
    </row>
    <row r="19" spans="2:25" ht="24.6" customHeight="1" x14ac:dyDescent="0.2">
      <c r="B19" s="64" t="s">
        <v>85</v>
      </c>
      <c r="C19" s="241" t="s">
        <v>86</v>
      </c>
      <c r="D19" s="241"/>
      <c r="E19" s="241"/>
      <c r="F19" s="241"/>
      <c r="G19" s="65" t="s">
        <v>52</v>
      </c>
      <c r="H19" s="65"/>
      <c r="I19" s="65"/>
      <c r="J19" s="65" t="s">
        <v>54</v>
      </c>
      <c r="K19" s="66"/>
      <c r="L19" s="67"/>
      <c r="M19" s="26"/>
      <c r="N19" s="29"/>
    </row>
    <row r="20" spans="2:25" ht="24.6" customHeight="1" x14ac:dyDescent="0.2">
      <c r="B20" s="64" t="s">
        <v>87</v>
      </c>
      <c r="C20" s="241" t="s">
        <v>88</v>
      </c>
      <c r="D20" s="241"/>
      <c r="E20" s="241"/>
      <c r="F20" s="241"/>
      <c r="G20" s="65" t="s">
        <v>54</v>
      </c>
      <c r="H20" s="160" t="s">
        <v>431</v>
      </c>
      <c r="I20" s="65"/>
      <c r="J20" s="65" t="s">
        <v>54</v>
      </c>
      <c r="K20" s="66"/>
      <c r="L20" s="67"/>
      <c r="M20" s="26"/>
      <c r="N20" s="29"/>
    </row>
    <row r="21" spans="2:25" ht="24.6" customHeight="1" x14ac:dyDescent="0.2">
      <c r="B21" s="64" t="s">
        <v>89</v>
      </c>
      <c r="C21" s="241" t="s">
        <v>201</v>
      </c>
      <c r="D21" s="241"/>
      <c r="E21" s="241"/>
      <c r="F21" s="241"/>
      <c r="G21" s="65" t="s">
        <v>54</v>
      </c>
      <c r="H21" s="160" t="s">
        <v>431</v>
      </c>
      <c r="I21" s="65"/>
      <c r="J21" s="65" t="s">
        <v>54</v>
      </c>
      <c r="K21" s="66"/>
      <c r="L21" s="67"/>
      <c r="M21" s="31"/>
    </row>
    <row r="22" spans="2:25" ht="24" customHeight="1" x14ac:dyDescent="0.2">
      <c r="B22" s="64" t="s">
        <v>90</v>
      </c>
      <c r="C22" s="241" t="s">
        <v>91</v>
      </c>
      <c r="D22" s="241"/>
      <c r="E22" s="241"/>
      <c r="F22" s="241"/>
      <c r="G22" s="65" t="s">
        <v>54</v>
      </c>
      <c r="H22" s="160" t="s">
        <v>431</v>
      </c>
      <c r="I22" s="65"/>
      <c r="J22" s="65" t="s">
        <v>54</v>
      </c>
      <c r="K22" s="66"/>
      <c r="L22" s="67"/>
      <c r="M22" s="31"/>
    </row>
    <row r="23" spans="2:25" ht="24.6" customHeight="1" x14ac:dyDescent="0.2">
      <c r="B23" s="64" t="s">
        <v>92</v>
      </c>
      <c r="C23" s="241" t="s">
        <v>93</v>
      </c>
      <c r="D23" s="241"/>
      <c r="E23" s="241"/>
      <c r="F23" s="241"/>
      <c r="G23" s="65" t="s">
        <v>52</v>
      </c>
      <c r="H23" s="65"/>
      <c r="I23" s="65"/>
      <c r="J23" s="65" t="s">
        <v>54</v>
      </c>
      <c r="K23" s="66"/>
      <c r="L23" s="67"/>
      <c r="M23" s="26"/>
      <c r="N23" s="29"/>
    </row>
    <row r="24" spans="2:25" ht="24.6" customHeight="1" x14ac:dyDescent="0.2">
      <c r="B24" s="64" t="s">
        <v>94</v>
      </c>
      <c r="C24" s="257" t="s">
        <v>95</v>
      </c>
      <c r="D24" s="258"/>
      <c r="E24" s="258"/>
      <c r="F24" s="259"/>
      <c r="G24" s="65" t="s">
        <v>52</v>
      </c>
      <c r="H24" s="65"/>
      <c r="I24" s="65"/>
      <c r="J24" s="65" t="s">
        <v>54</v>
      </c>
      <c r="K24" s="66"/>
      <c r="L24" s="67"/>
      <c r="M24" s="31"/>
      <c r="P24" s="71"/>
      <c r="Q24" s="57"/>
      <c r="R24" s="57"/>
      <c r="S24" s="57"/>
      <c r="T24" s="57"/>
      <c r="U24" s="57"/>
      <c r="V24" s="57"/>
      <c r="W24" s="57"/>
      <c r="X24" s="57"/>
      <c r="Y24" s="31"/>
    </row>
    <row r="25" spans="2:25" ht="24.6" customHeight="1" x14ac:dyDescent="0.2">
      <c r="B25" s="64" t="s">
        <v>96</v>
      </c>
      <c r="C25" s="260" t="s">
        <v>415</v>
      </c>
      <c r="D25" s="261"/>
      <c r="E25" s="261"/>
      <c r="F25" s="262"/>
      <c r="G25" s="65" t="s">
        <v>52</v>
      </c>
      <c r="H25" s="65"/>
      <c r="I25" s="65"/>
      <c r="J25" s="65" t="s">
        <v>54</v>
      </c>
      <c r="K25" s="66"/>
      <c r="L25" s="67"/>
      <c r="M25" s="26"/>
      <c r="N25" s="29"/>
    </row>
    <row r="26" spans="2:25" ht="24.6" customHeight="1" x14ac:dyDescent="0.2">
      <c r="B26" s="64" t="s">
        <v>97</v>
      </c>
      <c r="C26" s="260" t="s">
        <v>98</v>
      </c>
      <c r="D26" s="261"/>
      <c r="E26" s="261"/>
      <c r="F26" s="262"/>
      <c r="G26" s="65" t="s">
        <v>52</v>
      </c>
      <c r="H26" s="65"/>
      <c r="I26" s="65"/>
      <c r="J26" s="65" t="s">
        <v>54</v>
      </c>
      <c r="K26" s="66"/>
      <c r="L26" s="67"/>
      <c r="M26" s="31"/>
    </row>
    <row r="27" spans="2:25" ht="24.6" customHeight="1" x14ac:dyDescent="0.2">
      <c r="B27" s="64" t="s">
        <v>99</v>
      </c>
      <c r="C27" s="260" t="s">
        <v>100</v>
      </c>
      <c r="D27" s="261"/>
      <c r="E27" s="261"/>
      <c r="F27" s="262"/>
      <c r="G27" s="65" t="s">
        <v>52</v>
      </c>
      <c r="H27" s="65"/>
      <c r="I27" s="65"/>
      <c r="J27" s="65" t="s">
        <v>54</v>
      </c>
      <c r="K27" s="66"/>
      <c r="L27" s="67"/>
      <c r="M27" s="31"/>
      <c r="N27" s="31"/>
    </row>
    <row r="28" spans="2:25" ht="24.6" customHeight="1" x14ac:dyDescent="0.2">
      <c r="B28" s="64"/>
      <c r="C28" s="260"/>
      <c r="D28" s="261"/>
      <c r="E28" s="261"/>
      <c r="F28" s="262"/>
      <c r="G28" s="65"/>
      <c r="H28" s="65"/>
      <c r="I28" s="65"/>
      <c r="J28" s="65"/>
      <c r="K28" s="66"/>
      <c r="L28" s="67"/>
      <c r="M28" s="31"/>
      <c r="N28" s="31"/>
    </row>
    <row r="29" spans="2:25" ht="24.6" customHeight="1" x14ac:dyDescent="0.2">
      <c r="B29" s="64"/>
      <c r="C29" s="254"/>
      <c r="D29" s="255"/>
      <c r="E29" s="255"/>
      <c r="F29" s="256"/>
      <c r="G29" s="65"/>
      <c r="H29" s="65"/>
      <c r="I29" s="65"/>
      <c r="J29" s="65"/>
      <c r="K29" s="65"/>
      <c r="L29" s="67"/>
      <c r="M29" s="26"/>
      <c r="N29" s="29"/>
    </row>
    <row r="30" spans="2:25" ht="24.6" customHeight="1" x14ac:dyDescent="0.2">
      <c r="B30" s="26"/>
      <c r="C30" s="29"/>
      <c r="D30" s="57"/>
      <c r="E30" s="57"/>
      <c r="F30" s="57"/>
    </row>
    <row r="31" spans="2:25" ht="24.6" customHeight="1" x14ac:dyDescent="0.2">
      <c r="B31" s="26"/>
      <c r="C31" s="29"/>
    </row>
    <row r="32" spans="2:25" ht="24.6" customHeight="1" x14ac:dyDescent="0.2">
      <c r="K32" s="31"/>
      <c r="L32" s="31"/>
      <c r="M32" s="31"/>
      <c r="N32" s="31"/>
    </row>
    <row r="33" spans="2:14" ht="12.95" customHeight="1" x14ac:dyDescent="0.2">
      <c r="K33" s="31"/>
      <c r="L33" s="31"/>
      <c r="M33" s="31"/>
      <c r="N33" s="31"/>
    </row>
    <row r="34" spans="2:14" ht="12.95" customHeight="1" x14ac:dyDescent="0.2">
      <c r="B34" s="222"/>
      <c r="C34" s="222"/>
      <c r="D34" s="222"/>
      <c r="E34" s="222"/>
      <c r="F34" s="222"/>
      <c r="G34" s="46"/>
      <c r="H34" s="46"/>
      <c r="I34" s="46"/>
      <c r="J34" s="46"/>
    </row>
    <row r="35" spans="2:14" ht="12.95" customHeight="1" x14ac:dyDescent="0.2">
      <c r="B35" s="47"/>
      <c r="C35" s="221"/>
      <c r="D35" s="221"/>
      <c r="E35" s="221"/>
      <c r="F35" s="221"/>
    </row>
    <row r="36" spans="2:14" ht="12.95" customHeight="1" x14ac:dyDescent="0.2">
      <c r="B36" s="48"/>
      <c r="C36" s="221"/>
      <c r="D36" s="221"/>
      <c r="E36" s="221"/>
      <c r="F36" s="221"/>
    </row>
    <row r="37" spans="2:14" ht="12.95" customHeight="1" x14ac:dyDescent="0.2">
      <c r="B37" s="48"/>
      <c r="C37" s="221"/>
      <c r="D37" s="221"/>
      <c r="E37" s="221"/>
      <c r="F37" s="221"/>
    </row>
    <row r="38" spans="2:14" ht="12.95" customHeight="1" x14ac:dyDescent="0.2">
      <c r="B38" s="48"/>
      <c r="C38" s="221"/>
      <c r="D38" s="221"/>
      <c r="E38" s="221"/>
      <c r="F38" s="221"/>
    </row>
    <row r="39" spans="2:14" ht="12.95" customHeight="1" x14ac:dyDescent="0.2">
      <c r="B39" s="48"/>
      <c r="C39" s="221"/>
      <c r="D39" s="221"/>
      <c r="E39" s="221"/>
      <c r="F39" s="221"/>
    </row>
    <row r="40" spans="2:14" ht="12.95" customHeight="1" x14ac:dyDescent="0.2">
      <c r="B40" s="48"/>
      <c r="C40" s="221"/>
      <c r="D40" s="221"/>
      <c r="E40" s="221"/>
      <c r="F40" s="221"/>
    </row>
    <row r="41" spans="2:14" ht="12.95" customHeight="1" x14ac:dyDescent="0.2">
      <c r="B41" s="222"/>
      <c r="C41" s="222"/>
      <c r="D41" s="222"/>
      <c r="E41" s="222"/>
      <c r="F41" s="222"/>
    </row>
    <row r="42" spans="2:14" ht="12.95" customHeight="1" x14ac:dyDescent="0.2">
      <c r="B42" s="47"/>
      <c r="C42" s="221"/>
      <c r="D42" s="221"/>
      <c r="E42" s="221"/>
      <c r="F42" s="221"/>
    </row>
    <row r="43" spans="2:14" ht="12.95" customHeight="1" x14ac:dyDescent="0.2">
      <c r="B43" s="48"/>
      <c r="C43" s="221"/>
      <c r="D43" s="221"/>
      <c r="E43" s="221"/>
      <c r="F43" s="221"/>
    </row>
    <row r="44" spans="2:14" ht="12.95" customHeight="1" x14ac:dyDescent="0.2">
      <c r="B44" s="48"/>
      <c r="C44" s="221"/>
      <c r="D44" s="221"/>
      <c r="E44" s="221"/>
      <c r="F44" s="221"/>
    </row>
    <row r="45" spans="2:14" ht="12.95" customHeight="1" x14ac:dyDescent="0.2">
      <c r="B45" s="48"/>
      <c r="C45" s="221"/>
      <c r="D45" s="221"/>
      <c r="E45" s="221"/>
      <c r="F45" s="221"/>
    </row>
    <row r="46" spans="2:14" ht="12.95" customHeight="1" x14ac:dyDescent="0.2">
      <c r="B46" s="48"/>
      <c r="C46" s="221"/>
      <c r="D46" s="221"/>
      <c r="E46" s="221"/>
      <c r="F46" s="221"/>
    </row>
    <row r="47" spans="2:14" ht="12.95" customHeight="1" x14ac:dyDescent="0.2">
      <c r="B47" s="48"/>
      <c r="C47" s="221"/>
      <c r="D47" s="221"/>
      <c r="E47" s="221"/>
      <c r="F47" s="221"/>
    </row>
    <row r="48" spans="2:14" ht="12.95" customHeight="1" x14ac:dyDescent="0.2">
      <c r="B48" s="48"/>
      <c r="C48" s="221"/>
      <c r="D48" s="221"/>
      <c r="E48" s="221"/>
      <c r="F48" s="221"/>
    </row>
    <row r="49" spans="2:6" ht="12.95" customHeight="1" x14ac:dyDescent="0.2">
      <c r="B49" s="48"/>
      <c r="C49" s="221"/>
      <c r="D49" s="221"/>
      <c r="E49" s="221"/>
      <c r="F49" s="221"/>
    </row>
    <row r="50" spans="2:6" x14ac:dyDescent="0.2">
      <c r="B50" s="48"/>
      <c r="C50" s="221"/>
      <c r="D50" s="221"/>
      <c r="E50" s="221"/>
      <c r="F50" s="221"/>
    </row>
    <row r="51" spans="2:6" x14ac:dyDescent="0.2">
      <c r="B51" s="48"/>
      <c r="C51" s="221"/>
      <c r="D51" s="221"/>
      <c r="E51" s="221"/>
      <c r="F51" s="221"/>
    </row>
    <row r="52" spans="2:6" x14ac:dyDescent="0.2">
      <c r="B52" s="48"/>
      <c r="C52" s="221"/>
      <c r="D52" s="221"/>
      <c r="E52" s="221"/>
      <c r="F52" s="221"/>
    </row>
    <row r="53" spans="2:6" x14ac:dyDescent="0.2">
      <c r="B53" s="222"/>
      <c r="C53" s="222"/>
      <c r="D53" s="222"/>
      <c r="E53" s="222"/>
      <c r="F53" s="222"/>
    </row>
  </sheetData>
  <mergeCells count="55">
    <mergeCell ref="C52:F52"/>
    <mergeCell ref="B53:F53"/>
    <mergeCell ref="C46:F46"/>
    <mergeCell ref="C47:F47"/>
    <mergeCell ref="C48:F48"/>
    <mergeCell ref="C49:F49"/>
    <mergeCell ref="C50:F50"/>
    <mergeCell ref="C51:F51"/>
    <mergeCell ref="C45:F45"/>
    <mergeCell ref="B34:F34"/>
    <mergeCell ref="C35:F35"/>
    <mergeCell ref="C36:F36"/>
    <mergeCell ref="C37:F37"/>
    <mergeCell ref="C38:F38"/>
    <mergeCell ref="C39:F39"/>
    <mergeCell ref="C40:F40"/>
    <mergeCell ref="B41:F41"/>
    <mergeCell ref="C42:F42"/>
    <mergeCell ref="C43:F43"/>
    <mergeCell ref="C44:F44"/>
    <mergeCell ref="C29:F29"/>
    <mergeCell ref="C18:F18"/>
    <mergeCell ref="C19:F19"/>
    <mergeCell ref="C20:F20"/>
    <mergeCell ref="C21:F21"/>
    <mergeCell ref="C22:F22"/>
    <mergeCell ref="C23:F23"/>
    <mergeCell ref="C24:F24"/>
    <mergeCell ref="C25:F25"/>
    <mergeCell ref="C26:F26"/>
    <mergeCell ref="C27:F27"/>
    <mergeCell ref="C28:F28"/>
    <mergeCell ref="L12:L13"/>
    <mergeCell ref="C14:F14"/>
    <mergeCell ref="C15:F15"/>
    <mergeCell ref="C16:F16"/>
    <mergeCell ref="J12:J13"/>
    <mergeCell ref="K12:K13"/>
    <mergeCell ref="C17:F17"/>
    <mergeCell ref="B12:F13"/>
    <mergeCell ref="G12:G13"/>
    <mergeCell ref="H12:H13"/>
    <mergeCell ref="I12:I13"/>
    <mergeCell ref="J11:K11"/>
    <mergeCell ref="B2:D3"/>
    <mergeCell ref="E2:K3"/>
    <mergeCell ref="B4:D4"/>
    <mergeCell ref="E4:K5"/>
    <mergeCell ref="B5:D5"/>
    <mergeCell ref="B6:L6"/>
    <mergeCell ref="B8:C8"/>
    <mergeCell ref="D8:F8"/>
    <mergeCell ref="B9:C9"/>
    <mergeCell ref="D9:F9"/>
    <mergeCell ref="G11:H11"/>
  </mergeCells>
  <dataValidations count="1">
    <dataValidation type="list" allowBlank="1" showInputMessage="1" showErrorMessage="1" sqref="G15:G28 J15:J28" xr:uid="{00000000-0002-0000-03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A14D-B11C-4988-B8F8-5B31A7EDBEED}">
  <sheetPr>
    <pageSetUpPr fitToPage="1"/>
  </sheetPr>
  <dimension ref="B1:Y55"/>
  <sheetViews>
    <sheetView showGridLines="0" topLeftCell="A24" zoomScaleNormal="100" zoomScaleSheetLayoutView="100" zoomScalePageLayoutView="66" workbookViewId="0">
      <selection activeCell="C30" sqref="C30:F31"/>
    </sheetView>
  </sheetViews>
  <sheetFormatPr defaultColWidth="9.140625" defaultRowHeight="12.75" x14ac:dyDescent="0.2"/>
  <cols>
    <col min="1" max="1" width="2.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4"/>
      <c r="C2" s="175"/>
      <c r="D2" s="175"/>
      <c r="E2" s="178" t="s">
        <v>0</v>
      </c>
      <c r="F2" s="179"/>
      <c r="G2" s="179"/>
      <c r="H2" s="179"/>
      <c r="I2" s="179"/>
      <c r="J2" s="179"/>
      <c r="K2" s="179"/>
      <c r="L2" s="2" t="s">
        <v>1</v>
      </c>
    </row>
    <row r="3" spans="2:14" ht="14.25" customHeight="1" x14ac:dyDescent="0.2">
      <c r="B3" s="176"/>
      <c r="C3" s="177"/>
      <c r="D3" s="177"/>
      <c r="E3" s="180"/>
      <c r="F3" s="181"/>
      <c r="G3" s="181"/>
      <c r="H3" s="181"/>
      <c r="I3" s="181"/>
      <c r="J3" s="181"/>
      <c r="K3" s="181"/>
      <c r="L3" s="13" t="str">
        <f>'Work Instruction pg.1'!K3</f>
        <v>18/04/2024</v>
      </c>
    </row>
    <row r="4" spans="2:14" ht="14.25" customHeight="1" x14ac:dyDescent="0.2">
      <c r="B4" s="182" t="s">
        <v>2</v>
      </c>
      <c r="C4" s="183"/>
      <c r="D4" s="184"/>
      <c r="E4" s="185" t="s">
        <v>3</v>
      </c>
      <c r="F4" s="186"/>
      <c r="G4" s="186"/>
      <c r="H4" s="186"/>
      <c r="I4" s="186"/>
      <c r="J4" s="186"/>
      <c r="K4" s="186"/>
      <c r="L4" s="3" t="s">
        <v>4</v>
      </c>
    </row>
    <row r="5" spans="2:14" ht="14.25" customHeight="1" x14ac:dyDescent="0.2">
      <c r="B5" s="235" t="s">
        <v>5</v>
      </c>
      <c r="C5" s="236"/>
      <c r="D5" s="237"/>
      <c r="E5" s="188"/>
      <c r="F5" s="189"/>
      <c r="G5" s="189"/>
      <c r="H5" s="189"/>
      <c r="I5" s="189"/>
      <c r="J5" s="189"/>
      <c r="K5" s="189"/>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4"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46</v>
      </c>
      <c r="H11" s="227"/>
      <c r="I11" s="61"/>
      <c r="J11" s="265" t="s">
        <v>48</v>
      </c>
      <c r="K11" s="265"/>
      <c r="L11" s="67"/>
      <c r="M11" s="26"/>
      <c r="N11" s="29"/>
    </row>
    <row r="12" spans="2:14" ht="27" customHeight="1" x14ac:dyDescent="0.2">
      <c r="B12" s="267"/>
      <c r="C12" s="267"/>
      <c r="D12" s="267"/>
      <c r="E12" s="267"/>
      <c r="F12" s="267"/>
      <c r="G12" s="247" t="s">
        <v>71</v>
      </c>
      <c r="H12" s="247" t="s">
        <v>72</v>
      </c>
      <c r="I12" s="247" t="s">
        <v>73</v>
      </c>
      <c r="J12" s="247" t="s">
        <v>74</v>
      </c>
      <c r="K12" s="266" t="s">
        <v>21</v>
      </c>
      <c r="L12" s="263"/>
      <c r="M12" s="26"/>
      <c r="N12" s="29"/>
    </row>
    <row r="13" spans="2:14" ht="42" customHeight="1" x14ac:dyDescent="0.2">
      <c r="B13" s="268"/>
      <c r="C13" s="268"/>
      <c r="D13" s="268"/>
      <c r="E13" s="268"/>
      <c r="F13" s="268"/>
      <c r="G13" s="248"/>
      <c r="H13" s="248"/>
      <c r="I13" s="248"/>
      <c r="J13" s="248"/>
      <c r="K13" s="266"/>
      <c r="L13" s="264"/>
      <c r="M13" s="26"/>
      <c r="N13" s="29"/>
    </row>
    <row r="14" spans="2:14" ht="24.6" customHeight="1" x14ac:dyDescent="0.2">
      <c r="B14" s="63" t="s">
        <v>101</v>
      </c>
      <c r="C14" s="249" t="s">
        <v>102</v>
      </c>
      <c r="D14" s="250"/>
      <c r="E14" s="250"/>
      <c r="F14" s="251"/>
      <c r="G14" s="113"/>
      <c r="H14" s="114"/>
      <c r="I14" s="114"/>
      <c r="J14" s="114"/>
      <c r="K14" s="114"/>
      <c r="L14" s="115"/>
      <c r="M14" s="26"/>
      <c r="N14" s="29"/>
    </row>
    <row r="15" spans="2:14" ht="24.6" customHeight="1" x14ac:dyDescent="0.2">
      <c r="B15" s="64" t="s">
        <v>103</v>
      </c>
      <c r="C15" s="241" t="s">
        <v>104</v>
      </c>
      <c r="D15" s="241"/>
      <c r="E15" s="241"/>
      <c r="F15" s="241"/>
      <c r="G15" s="65" t="s">
        <v>52</v>
      </c>
      <c r="H15" s="65"/>
      <c r="I15" s="65"/>
      <c r="J15" s="65" t="s">
        <v>54</v>
      </c>
      <c r="K15" s="66"/>
      <c r="L15" s="67"/>
      <c r="M15" s="26"/>
      <c r="N15" s="29"/>
    </row>
    <row r="16" spans="2:14" ht="24.6" customHeight="1" x14ac:dyDescent="0.2">
      <c r="B16" s="64" t="s">
        <v>105</v>
      </c>
      <c r="C16" s="241" t="s">
        <v>106</v>
      </c>
      <c r="D16" s="241"/>
      <c r="E16" s="241"/>
      <c r="F16" s="241"/>
      <c r="G16" s="65" t="s">
        <v>52</v>
      </c>
      <c r="H16" s="65"/>
      <c r="I16" s="65"/>
      <c r="J16" s="65" t="s">
        <v>54</v>
      </c>
      <c r="K16" s="66"/>
      <c r="L16" s="67"/>
      <c r="M16" s="26"/>
      <c r="N16" s="29"/>
    </row>
    <row r="17" spans="2:25" ht="28.9" customHeight="1" x14ac:dyDescent="0.2">
      <c r="B17" s="64" t="s">
        <v>107</v>
      </c>
      <c r="C17" s="241" t="s">
        <v>108</v>
      </c>
      <c r="D17" s="241"/>
      <c r="E17" s="241"/>
      <c r="F17" s="241"/>
      <c r="G17" s="65" t="s">
        <v>52</v>
      </c>
      <c r="H17" s="65"/>
      <c r="I17" s="69"/>
      <c r="J17" s="65" t="s">
        <v>54</v>
      </c>
      <c r="K17" s="66"/>
      <c r="L17" s="67"/>
      <c r="M17" s="26"/>
      <c r="N17" s="29"/>
      <c r="R17" s="1" t="s">
        <v>9</v>
      </c>
    </row>
    <row r="18" spans="2:25" ht="24.6" customHeight="1" x14ac:dyDescent="0.2">
      <c r="B18" s="64" t="s">
        <v>109</v>
      </c>
      <c r="C18" s="241" t="s">
        <v>110</v>
      </c>
      <c r="D18" s="241"/>
      <c r="E18" s="241"/>
      <c r="F18" s="241"/>
      <c r="G18" s="65" t="s">
        <v>52</v>
      </c>
      <c r="H18" s="65"/>
      <c r="I18" s="65"/>
      <c r="J18" s="65" t="s">
        <v>54</v>
      </c>
      <c r="K18" s="66"/>
      <c r="L18" s="67"/>
      <c r="M18" s="26"/>
      <c r="N18" s="29"/>
    </row>
    <row r="19" spans="2:25" ht="24.6" customHeight="1" x14ac:dyDescent="0.2">
      <c r="B19" s="64" t="s">
        <v>111</v>
      </c>
      <c r="C19" s="241" t="s">
        <v>112</v>
      </c>
      <c r="D19" s="241"/>
      <c r="E19" s="241"/>
      <c r="F19" s="241"/>
      <c r="G19" s="65" t="s">
        <v>52</v>
      </c>
      <c r="H19" s="65"/>
      <c r="I19" s="65"/>
      <c r="J19" s="65" t="s">
        <v>54</v>
      </c>
      <c r="K19" s="66"/>
      <c r="L19" s="67"/>
      <c r="M19" s="26"/>
      <c r="N19" s="29"/>
    </row>
    <row r="20" spans="2:25" ht="24.6" customHeight="1" x14ac:dyDescent="0.2">
      <c r="B20" s="64" t="s">
        <v>113</v>
      </c>
      <c r="C20" s="260" t="s">
        <v>114</v>
      </c>
      <c r="D20" s="261"/>
      <c r="E20" s="261"/>
      <c r="F20" s="262"/>
      <c r="G20" s="65" t="s">
        <v>52</v>
      </c>
      <c r="H20" s="65"/>
      <c r="I20" s="65"/>
      <c r="J20" s="65" t="s">
        <v>54</v>
      </c>
      <c r="K20" s="66"/>
      <c r="L20" s="67"/>
      <c r="M20" s="26"/>
      <c r="N20" s="29"/>
    </row>
    <row r="21" spans="2:25" ht="24.6" customHeight="1" x14ac:dyDescent="0.2">
      <c r="B21" s="64" t="s">
        <v>115</v>
      </c>
      <c r="C21" s="241" t="s">
        <v>116</v>
      </c>
      <c r="D21" s="241"/>
      <c r="E21" s="241"/>
      <c r="F21" s="241"/>
      <c r="G21" s="65" t="s">
        <v>52</v>
      </c>
      <c r="H21" s="65"/>
      <c r="I21" s="65"/>
      <c r="J21" s="65" t="s">
        <v>54</v>
      </c>
      <c r="K21" s="66"/>
      <c r="L21" s="67"/>
      <c r="M21" s="26"/>
      <c r="N21" s="29"/>
    </row>
    <row r="22" spans="2:25" ht="24.6" customHeight="1" x14ac:dyDescent="0.2">
      <c r="B22" s="64" t="s">
        <v>117</v>
      </c>
      <c r="C22" s="241" t="s">
        <v>416</v>
      </c>
      <c r="D22" s="241"/>
      <c r="E22" s="241"/>
      <c r="F22" s="241"/>
      <c r="G22" s="65" t="s">
        <v>52</v>
      </c>
      <c r="H22" s="65"/>
      <c r="I22" s="65"/>
      <c r="J22" s="65" t="s">
        <v>54</v>
      </c>
      <c r="K22" s="66"/>
      <c r="L22" s="67"/>
      <c r="M22" s="31"/>
    </row>
    <row r="23" spans="2:25" ht="24.6" customHeight="1" x14ac:dyDescent="0.2">
      <c r="B23" s="64" t="s">
        <v>118</v>
      </c>
      <c r="C23" s="241" t="s">
        <v>119</v>
      </c>
      <c r="D23" s="241"/>
      <c r="E23" s="241"/>
      <c r="F23" s="241"/>
      <c r="G23" s="65" t="s">
        <v>52</v>
      </c>
      <c r="H23" s="65"/>
      <c r="I23" s="65"/>
      <c r="J23" s="65" t="s">
        <v>54</v>
      </c>
      <c r="K23" s="66"/>
      <c r="L23" s="67"/>
      <c r="M23" s="31"/>
    </row>
    <row r="24" spans="2:25" ht="22.9" customHeight="1" x14ac:dyDescent="0.2">
      <c r="B24" s="64" t="s">
        <v>120</v>
      </c>
      <c r="C24" s="241" t="s">
        <v>121</v>
      </c>
      <c r="D24" s="241"/>
      <c r="E24" s="241"/>
      <c r="F24" s="241"/>
      <c r="G24" s="65" t="s">
        <v>52</v>
      </c>
      <c r="H24" s="65"/>
      <c r="I24" s="69"/>
      <c r="J24" s="65" t="s">
        <v>54</v>
      </c>
      <c r="K24" s="66"/>
      <c r="L24" s="67"/>
      <c r="M24" s="31"/>
      <c r="P24" s="71"/>
      <c r="Q24" s="57"/>
      <c r="R24" s="57"/>
      <c r="S24" s="57"/>
      <c r="T24" s="57"/>
      <c r="U24" s="57"/>
      <c r="V24" s="57"/>
      <c r="W24" s="57"/>
      <c r="X24" s="57"/>
      <c r="Y24" s="31"/>
    </row>
    <row r="25" spans="2:25" ht="24.6" customHeight="1" x14ac:dyDescent="0.2">
      <c r="B25" s="64" t="s">
        <v>122</v>
      </c>
      <c r="C25" s="241" t="s">
        <v>123</v>
      </c>
      <c r="D25" s="241"/>
      <c r="E25" s="241"/>
      <c r="F25" s="241"/>
      <c r="G25" s="65" t="s">
        <v>52</v>
      </c>
      <c r="H25" s="65"/>
      <c r="I25" s="65"/>
      <c r="J25" s="65" t="s">
        <v>54</v>
      </c>
      <c r="K25" s="66"/>
      <c r="L25" s="67"/>
      <c r="M25" s="31"/>
    </row>
    <row r="26" spans="2:25" ht="24.6" customHeight="1" x14ac:dyDescent="0.2">
      <c r="B26" s="64" t="s">
        <v>124</v>
      </c>
      <c r="C26" s="241" t="s">
        <v>417</v>
      </c>
      <c r="D26" s="241"/>
      <c r="E26" s="241"/>
      <c r="F26" s="241"/>
      <c r="G26" s="65" t="s">
        <v>52</v>
      </c>
      <c r="H26" s="65"/>
      <c r="I26" s="65"/>
      <c r="J26" s="65" t="s">
        <v>54</v>
      </c>
      <c r="K26" s="66"/>
      <c r="L26" s="67"/>
      <c r="M26" s="31"/>
    </row>
    <row r="27" spans="2:25" ht="15" x14ac:dyDescent="0.2">
      <c r="B27" s="64" t="s">
        <v>125</v>
      </c>
      <c r="C27" s="241" t="s">
        <v>126</v>
      </c>
      <c r="D27" s="241"/>
      <c r="E27" s="241"/>
      <c r="F27" s="241"/>
      <c r="G27" s="65" t="s">
        <v>52</v>
      </c>
      <c r="H27" s="65"/>
      <c r="I27" s="69"/>
      <c r="J27" s="65" t="s">
        <v>54</v>
      </c>
      <c r="K27" s="66"/>
      <c r="L27" s="67"/>
      <c r="M27" s="31"/>
    </row>
    <row r="28" spans="2:25" ht="24.6" customHeight="1" x14ac:dyDescent="0.2">
      <c r="B28" s="64" t="s">
        <v>127</v>
      </c>
      <c r="C28" s="241" t="s">
        <v>128</v>
      </c>
      <c r="D28" s="241"/>
      <c r="E28" s="241"/>
      <c r="F28" s="241"/>
      <c r="G28" s="65" t="s">
        <v>52</v>
      </c>
      <c r="H28" s="65"/>
      <c r="I28" s="65"/>
      <c r="J28" s="65" t="s">
        <v>54</v>
      </c>
      <c r="K28" s="66"/>
      <c r="L28" s="67"/>
      <c r="M28" s="31"/>
      <c r="N28" s="31"/>
    </row>
    <row r="29" spans="2:25" ht="24.6" customHeight="1" x14ac:dyDescent="0.2">
      <c r="B29" s="64" t="s">
        <v>129</v>
      </c>
      <c r="C29" s="241" t="s">
        <v>130</v>
      </c>
      <c r="D29" s="241"/>
      <c r="E29" s="241"/>
      <c r="F29" s="241"/>
      <c r="G29" s="65" t="s">
        <v>52</v>
      </c>
      <c r="H29" s="65"/>
      <c r="I29" s="65"/>
      <c r="J29" s="65" t="s">
        <v>54</v>
      </c>
      <c r="K29" s="66"/>
      <c r="L29" s="67"/>
      <c r="M29" s="31"/>
      <c r="N29" s="31"/>
    </row>
    <row r="30" spans="2:25" ht="24.6" customHeight="1" x14ac:dyDescent="0.2">
      <c r="B30" s="64" t="s">
        <v>131</v>
      </c>
      <c r="C30" s="241" t="s">
        <v>132</v>
      </c>
      <c r="D30" s="241"/>
      <c r="E30" s="241"/>
      <c r="F30" s="241"/>
      <c r="G30" s="65" t="s">
        <v>52</v>
      </c>
      <c r="H30" s="65"/>
      <c r="I30" s="65"/>
      <c r="J30" s="65" t="s">
        <v>54</v>
      </c>
      <c r="K30" s="66"/>
      <c r="L30" s="67"/>
      <c r="M30" s="31"/>
      <c r="N30" s="31"/>
    </row>
    <row r="31" spans="2:25" ht="24.6" customHeight="1" x14ac:dyDescent="0.2">
      <c r="B31" s="64" t="s">
        <v>133</v>
      </c>
      <c r="C31" s="241" t="s">
        <v>418</v>
      </c>
      <c r="D31" s="241"/>
      <c r="E31" s="241"/>
      <c r="F31" s="241"/>
      <c r="G31" s="65" t="s">
        <v>52</v>
      </c>
      <c r="H31" s="65"/>
      <c r="I31" s="65"/>
      <c r="J31" s="65" t="s">
        <v>54</v>
      </c>
      <c r="K31" s="66"/>
      <c r="L31" s="67"/>
    </row>
    <row r="32" spans="2:25" ht="24.6" customHeight="1" x14ac:dyDescent="0.2">
      <c r="B32" s="64" t="s">
        <v>134</v>
      </c>
      <c r="C32" s="241" t="s">
        <v>135</v>
      </c>
      <c r="D32" s="241"/>
      <c r="E32" s="241"/>
      <c r="F32" s="241"/>
      <c r="G32" s="65" t="s">
        <v>52</v>
      </c>
      <c r="H32" s="65"/>
      <c r="I32" s="65"/>
      <c r="J32" s="65" t="s">
        <v>54</v>
      </c>
      <c r="K32" s="66"/>
      <c r="L32" s="67"/>
    </row>
    <row r="33" spans="2:14" ht="24.6" customHeight="1" x14ac:dyDescent="0.2">
      <c r="B33" s="64" t="s">
        <v>136</v>
      </c>
      <c r="C33" s="241" t="s">
        <v>137</v>
      </c>
      <c r="D33" s="241"/>
      <c r="E33" s="241"/>
      <c r="F33" s="241"/>
      <c r="G33" s="65" t="s">
        <v>52</v>
      </c>
      <c r="H33" s="65"/>
      <c r="I33" s="65"/>
      <c r="J33" s="65" t="s">
        <v>54</v>
      </c>
      <c r="K33" s="66"/>
      <c r="L33" s="67"/>
      <c r="M33" s="31"/>
      <c r="N33" s="31"/>
    </row>
    <row r="34" spans="2:14" ht="48" customHeight="1" x14ac:dyDescent="0.2">
      <c r="B34" s="64" t="s">
        <v>138</v>
      </c>
      <c r="C34" s="241" t="s">
        <v>139</v>
      </c>
      <c r="D34" s="241"/>
      <c r="E34" s="241"/>
      <c r="F34" s="241"/>
      <c r="G34" s="65" t="s">
        <v>54</v>
      </c>
      <c r="H34" s="160" t="s">
        <v>432</v>
      </c>
      <c r="I34" s="65"/>
      <c r="J34" s="65" t="s">
        <v>54</v>
      </c>
      <c r="K34" s="66"/>
      <c r="L34" s="67"/>
      <c r="M34" s="31"/>
      <c r="N34" s="31"/>
    </row>
    <row r="35" spans="2:14" ht="39.6" customHeight="1" x14ac:dyDescent="0.2">
      <c r="B35" s="64" t="s">
        <v>140</v>
      </c>
      <c r="C35" s="241" t="s">
        <v>141</v>
      </c>
      <c r="D35" s="241"/>
      <c r="E35" s="241"/>
      <c r="F35" s="241"/>
      <c r="G35" s="65" t="s">
        <v>54</v>
      </c>
      <c r="H35" s="160" t="s">
        <v>433</v>
      </c>
      <c r="I35" s="65"/>
      <c r="J35" s="65" t="s">
        <v>54</v>
      </c>
      <c r="K35" s="66"/>
      <c r="L35" s="67"/>
    </row>
    <row r="36" spans="2:14" ht="24.6" customHeight="1" x14ac:dyDescent="0.2">
      <c r="B36" s="64" t="s">
        <v>142</v>
      </c>
      <c r="C36" s="241" t="s">
        <v>143</v>
      </c>
      <c r="D36" s="241"/>
      <c r="E36" s="241"/>
      <c r="F36" s="241"/>
      <c r="G36" s="65" t="s">
        <v>52</v>
      </c>
      <c r="H36" s="65"/>
      <c r="I36" s="65"/>
      <c r="J36" s="65" t="s">
        <v>54</v>
      </c>
      <c r="K36" s="66"/>
      <c r="L36" s="67"/>
    </row>
    <row r="37" spans="2:14" ht="24.6" customHeight="1" x14ac:dyDescent="0.2">
      <c r="B37" s="64" t="s">
        <v>144</v>
      </c>
      <c r="C37" s="241" t="s">
        <v>145</v>
      </c>
      <c r="D37" s="241"/>
      <c r="E37" s="241"/>
      <c r="F37" s="241"/>
      <c r="G37" s="65" t="s">
        <v>52</v>
      </c>
      <c r="H37" s="65"/>
      <c r="I37" s="65"/>
      <c r="J37" s="65" t="s">
        <v>54</v>
      </c>
      <c r="K37" s="66"/>
      <c r="L37" s="67"/>
    </row>
    <row r="38" spans="2:14" ht="24.6" customHeight="1" x14ac:dyDescent="0.2">
      <c r="B38" s="64" t="s">
        <v>146</v>
      </c>
      <c r="C38" s="260" t="s">
        <v>147</v>
      </c>
      <c r="D38" s="261"/>
      <c r="E38" s="261"/>
      <c r="F38" s="262"/>
      <c r="G38" s="65" t="s">
        <v>52</v>
      </c>
      <c r="H38" s="65"/>
      <c r="I38" s="65"/>
      <c r="J38" s="65" t="s">
        <v>54</v>
      </c>
      <c r="K38" s="66"/>
      <c r="L38" s="67"/>
    </row>
    <row r="39" spans="2:14" ht="24.6" customHeight="1" x14ac:dyDescent="0.2">
      <c r="B39" s="64" t="s">
        <v>148</v>
      </c>
      <c r="C39" s="260" t="s">
        <v>149</v>
      </c>
      <c r="D39" s="261"/>
      <c r="E39" s="261"/>
      <c r="F39" s="262"/>
      <c r="G39" s="65" t="s">
        <v>52</v>
      </c>
      <c r="H39" s="65"/>
      <c r="I39" s="65"/>
      <c r="J39" s="65" t="s">
        <v>54</v>
      </c>
      <c r="K39" s="66"/>
      <c r="L39" s="67"/>
    </row>
    <row r="40" spans="2:14" ht="24.6" customHeight="1" x14ac:dyDescent="0.2">
      <c r="B40" s="64"/>
      <c r="C40" s="103"/>
      <c r="D40" s="104"/>
      <c r="E40" s="104"/>
      <c r="F40" s="105"/>
      <c r="G40" s="65"/>
      <c r="H40" s="65"/>
      <c r="I40" s="65"/>
      <c r="J40" s="65"/>
      <c r="K40" s="66"/>
      <c r="L40" s="67"/>
    </row>
    <row r="41" spans="2:14" ht="24.6" customHeight="1" x14ac:dyDescent="0.2">
      <c r="B41" s="64"/>
      <c r="C41" s="260"/>
      <c r="D41" s="261"/>
      <c r="E41" s="261"/>
      <c r="F41" s="262"/>
      <c r="G41" s="65"/>
      <c r="H41" s="65"/>
      <c r="I41" s="65"/>
      <c r="J41" s="65"/>
      <c r="K41" s="66"/>
      <c r="L41" s="67"/>
    </row>
    <row r="42" spans="2:14" ht="12.95" customHeight="1" x14ac:dyDescent="0.2">
      <c r="B42" s="48"/>
      <c r="C42" s="221"/>
      <c r="D42" s="221"/>
      <c r="E42" s="221"/>
      <c r="F42" s="221"/>
    </row>
    <row r="43" spans="2:14" ht="12.95" customHeight="1" x14ac:dyDescent="0.2">
      <c r="B43" s="222"/>
      <c r="C43" s="223"/>
      <c r="D43" s="223"/>
      <c r="E43" s="223"/>
      <c r="F43" s="223"/>
    </row>
    <row r="44" spans="2:14" ht="12.95" customHeight="1" x14ac:dyDescent="0.2">
      <c r="B44" s="47"/>
      <c r="C44" s="221"/>
      <c r="D44" s="221"/>
      <c r="E44" s="221"/>
      <c r="F44" s="221"/>
    </row>
    <row r="45" spans="2:14" ht="12.95" customHeight="1" x14ac:dyDescent="0.2">
      <c r="B45" s="48"/>
      <c r="C45" s="221"/>
      <c r="D45" s="221"/>
      <c r="E45" s="221"/>
      <c r="F45" s="221"/>
    </row>
    <row r="46" spans="2:14" ht="12.95" customHeight="1" x14ac:dyDescent="0.2">
      <c r="B46" s="48"/>
      <c r="C46" s="221"/>
      <c r="D46" s="221"/>
      <c r="E46" s="221"/>
      <c r="F46" s="221"/>
    </row>
    <row r="47" spans="2:14" ht="12.95" customHeight="1" x14ac:dyDescent="0.2">
      <c r="B47" s="48"/>
      <c r="C47" s="221"/>
      <c r="D47" s="221"/>
      <c r="E47" s="221"/>
      <c r="F47" s="221"/>
    </row>
    <row r="48" spans="2:14" ht="12.95" customHeight="1" x14ac:dyDescent="0.2">
      <c r="B48" s="48"/>
      <c r="C48" s="221"/>
      <c r="D48" s="221"/>
      <c r="E48" s="221"/>
      <c r="F48" s="221"/>
    </row>
    <row r="49" spans="2:6" ht="12.95" customHeight="1" x14ac:dyDescent="0.2">
      <c r="B49" s="48"/>
      <c r="C49" s="221"/>
      <c r="D49" s="221"/>
      <c r="E49" s="221"/>
      <c r="F49" s="221"/>
    </row>
    <row r="50" spans="2:6" ht="12.95" customHeight="1" x14ac:dyDescent="0.2">
      <c r="B50" s="48"/>
      <c r="C50" s="221"/>
      <c r="D50" s="221"/>
      <c r="E50" s="221"/>
      <c r="F50" s="221"/>
    </row>
    <row r="51" spans="2:6" ht="12.95" customHeight="1" x14ac:dyDescent="0.2">
      <c r="B51" s="48"/>
      <c r="C51" s="221"/>
      <c r="D51" s="221"/>
      <c r="E51" s="221"/>
      <c r="F51" s="221"/>
    </row>
    <row r="52" spans="2:6" ht="12.95" customHeight="1" x14ac:dyDescent="0.2">
      <c r="B52" s="48"/>
      <c r="C52" s="221"/>
      <c r="D52" s="221"/>
      <c r="E52" s="221"/>
      <c r="F52" s="221"/>
    </row>
    <row r="53" spans="2:6" x14ac:dyDescent="0.2">
      <c r="B53" s="48"/>
      <c r="C53" s="221"/>
      <c r="D53" s="221"/>
      <c r="E53" s="221"/>
      <c r="F53" s="221"/>
    </row>
    <row r="54" spans="2:6" x14ac:dyDescent="0.2">
      <c r="B54" s="48"/>
      <c r="C54" s="221"/>
      <c r="D54" s="221"/>
      <c r="E54" s="221"/>
      <c r="F54" s="221"/>
    </row>
    <row r="55" spans="2:6" x14ac:dyDescent="0.2">
      <c r="B55" s="222"/>
      <c r="C55" s="223"/>
      <c r="D55" s="223"/>
      <c r="E55" s="223"/>
      <c r="F55" s="223"/>
    </row>
  </sheetData>
  <mergeCells count="60">
    <mergeCell ref="B55:F55"/>
    <mergeCell ref="C49:F49"/>
    <mergeCell ref="C50:F50"/>
    <mergeCell ref="C51:F51"/>
    <mergeCell ref="C52:F52"/>
    <mergeCell ref="C53:F53"/>
    <mergeCell ref="C54:F54"/>
    <mergeCell ref="C48:F48"/>
    <mergeCell ref="C36:F36"/>
    <mergeCell ref="C37:F37"/>
    <mergeCell ref="C38:F38"/>
    <mergeCell ref="C39:F39"/>
    <mergeCell ref="C41:F41"/>
    <mergeCell ref="C42:F42"/>
    <mergeCell ref="B43:F43"/>
    <mergeCell ref="C44:F44"/>
    <mergeCell ref="C45:F45"/>
    <mergeCell ref="C46:F46"/>
    <mergeCell ref="C47:F47"/>
    <mergeCell ref="C21:F21"/>
    <mergeCell ref="C22:F22"/>
    <mergeCell ref="C35:F35"/>
    <mergeCell ref="C24:F24"/>
    <mergeCell ref="C25:F25"/>
    <mergeCell ref="C26:F26"/>
    <mergeCell ref="C27:F27"/>
    <mergeCell ref="C28:F28"/>
    <mergeCell ref="C29:F29"/>
    <mergeCell ref="C30:F30"/>
    <mergeCell ref="C31:F31"/>
    <mergeCell ref="C32:F32"/>
    <mergeCell ref="C33:F33"/>
    <mergeCell ref="C34:F34"/>
    <mergeCell ref="C23:F23"/>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1:L12">
    <cfRule type="containsText" dxfId="20" priority="1" operator="containsText" text="Yellow">
      <formula>NOT(ISERROR(SEARCH("Yellow",L11)))</formula>
    </cfRule>
    <cfRule type="cellIs" dxfId="19" priority="2" operator="equal">
      <formula>"Red"</formula>
    </cfRule>
    <cfRule type="containsText" dxfId="18" priority="3" operator="containsText" text="Green">
      <formula>NOT(ISERROR(SEARCH("Green",L11)))</formula>
    </cfRule>
  </conditionalFormatting>
  <conditionalFormatting sqref="L15:L41">
    <cfRule type="containsText" dxfId="17" priority="4" operator="containsText" text="Yellow">
      <formula>NOT(ISERROR(SEARCH("Yellow",L15)))</formula>
    </cfRule>
    <cfRule type="cellIs" dxfId="16" priority="5" operator="equal">
      <formula>"Red"</formula>
    </cfRule>
    <cfRule type="containsText" dxfId="15" priority="6" operator="containsText" text="Green">
      <formula>NOT(ISERROR(SEARCH("Green",L15)))</formula>
    </cfRule>
  </conditionalFormatting>
  <dataValidations count="1">
    <dataValidation type="list" allowBlank="1" showInputMessage="1" showErrorMessage="1" sqref="J15:J41 G15:G40" xr:uid="{00000000-0002-0000-04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4818-849B-4DE7-93CD-2827B58A1A58}">
  <sheetPr>
    <pageSetUpPr fitToPage="1"/>
  </sheetPr>
  <dimension ref="B1:Y52"/>
  <sheetViews>
    <sheetView showGridLines="0" topLeftCell="A17" zoomScale="115" zoomScaleNormal="115" zoomScaleSheetLayoutView="100" zoomScalePageLayoutView="66" workbookViewId="0">
      <selection activeCell="I28" sqref="I28"/>
    </sheetView>
  </sheetViews>
  <sheetFormatPr defaultColWidth="9.140625" defaultRowHeight="12.75" x14ac:dyDescent="0.2"/>
  <cols>
    <col min="1" max="1" width="1.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4"/>
      <c r="C2" s="175"/>
      <c r="D2" s="175"/>
      <c r="E2" s="178" t="s">
        <v>0</v>
      </c>
      <c r="F2" s="179"/>
      <c r="G2" s="179"/>
      <c r="H2" s="179"/>
      <c r="I2" s="179"/>
      <c r="J2" s="179"/>
      <c r="K2" s="179"/>
      <c r="L2" s="2" t="s">
        <v>1</v>
      </c>
    </row>
    <row r="3" spans="2:14" ht="14.25" customHeight="1" x14ac:dyDescent="0.2">
      <c r="B3" s="176"/>
      <c r="C3" s="177"/>
      <c r="D3" s="177"/>
      <c r="E3" s="180"/>
      <c r="F3" s="181"/>
      <c r="G3" s="181"/>
      <c r="H3" s="181"/>
      <c r="I3" s="181"/>
      <c r="J3" s="181"/>
      <c r="K3" s="181"/>
      <c r="L3" s="13" t="str">
        <f>'Work Instruction pg.1'!K3</f>
        <v>18/04/2024</v>
      </c>
    </row>
    <row r="4" spans="2:14" ht="14.25" customHeight="1" x14ac:dyDescent="0.2">
      <c r="B4" s="182" t="s">
        <v>2</v>
      </c>
      <c r="C4" s="183"/>
      <c r="D4" s="184"/>
      <c r="E4" s="185" t="s">
        <v>3</v>
      </c>
      <c r="F4" s="186"/>
      <c r="G4" s="186"/>
      <c r="H4" s="186"/>
      <c r="I4" s="186"/>
      <c r="J4" s="186"/>
      <c r="K4" s="186"/>
      <c r="L4" s="3" t="s">
        <v>4</v>
      </c>
    </row>
    <row r="5" spans="2:14" ht="14.25" customHeight="1" x14ac:dyDescent="0.2">
      <c r="B5" s="235" t="s">
        <v>5</v>
      </c>
      <c r="C5" s="236"/>
      <c r="D5" s="237"/>
      <c r="E5" s="188"/>
      <c r="F5" s="189"/>
      <c r="G5" s="189"/>
      <c r="H5" s="189"/>
      <c r="I5" s="189"/>
      <c r="J5" s="189"/>
      <c r="K5" s="189"/>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4"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150</v>
      </c>
      <c r="H11" s="227"/>
      <c r="I11" s="61"/>
      <c r="J11" s="265" t="s">
        <v>151</v>
      </c>
      <c r="K11" s="265"/>
      <c r="L11" s="62"/>
      <c r="M11" s="26"/>
      <c r="N11" s="29"/>
    </row>
    <row r="12" spans="2:14" ht="27" customHeight="1" x14ac:dyDescent="0.2">
      <c r="B12" s="267"/>
      <c r="C12" s="267"/>
      <c r="D12" s="267"/>
      <c r="E12" s="267"/>
      <c r="F12" s="267"/>
      <c r="G12" s="247" t="s">
        <v>71</v>
      </c>
      <c r="H12" s="247" t="s">
        <v>72</v>
      </c>
      <c r="I12" s="247" t="s">
        <v>73</v>
      </c>
      <c r="J12" s="247" t="s">
        <v>74</v>
      </c>
      <c r="K12" s="266" t="s">
        <v>21</v>
      </c>
      <c r="L12" s="247"/>
      <c r="M12" s="26"/>
      <c r="N12" s="29"/>
    </row>
    <row r="13" spans="2:14" ht="42" customHeight="1" x14ac:dyDescent="0.2">
      <c r="B13" s="268"/>
      <c r="C13" s="268"/>
      <c r="D13" s="268"/>
      <c r="E13" s="268"/>
      <c r="F13" s="268"/>
      <c r="G13" s="248"/>
      <c r="H13" s="248"/>
      <c r="I13" s="248"/>
      <c r="J13" s="248"/>
      <c r="K13" s="266"/>
      <c r="L13" s="253"/>
      <c r="M13" s="26"/>
      <c r="N13" s="29"/>
    </row>
    <row r="14" spans="2:14" ht="24.6" customHeight="1" x14ac:dyDescent="0.2">
      <c r="B14" s="72">
        <v>3</v>
      </c>
      <c r="C14" s="249" t="s">
        <v>152</v>
      </c>
      <c r="D14" s="250"/>
      <c r="E14" s="250"/>
      <c r="F14" s="251"/>
      <c r="G14" s="113"/>
      <c r="H14" s="114"/>
      <c r="I14" s="114"/>
      <c r="J14" s="114"/>
      <c r="K14" s="114"/>
      <c r="L14" s="115"/>
      <c r="M14" s="26"/>
      <c r="N14" s="29"/>
    </row>
    <row r="15" spans="2:14" s="57" customFormat="1" ht="24.6" customHeight="1" x14ac:dyDescent="0.25">
      <c r="B15" s="64" t="s">
        <v>153</v>
      </c>
      <c r="C15" s="241" t="s">
        <v>154</v>
      </c>
      <c r="D15" s="241"/>
      <c r="E15" s="241"/>
      <c r="F15" s="241"/>
      <c r="G15" s="65" t="s">
        <v>52</v>
      </c>
      <c r="H15" s="65"/>
      <c r="I15" s="65"/>
      <c r="J15" s="65" t="s">
        <v>54</v>
      </c>
      <c r="K15" s="66"/>
      <c r="L15" s="67"/>
      <c r="M15" s="26"/>
      <c r="N15" s="29"/>
    </row>
    <row r="16" spans="2:14" s="57" customFormat="1" ht="24.6" customHeight="1" x14ac:dyDescent="0.25">
      <c r="B16" s="64" t="s">
        <v>155</v>
      </c>
      <c r="C16" s="241" t="s">
        <v>156</v>
      </c>
      <c r="D16" s="241"/>
      <c r="E16" s="241"/>
      <c r="F16" s="241"/>
      <c r="G16" s="65" t="s">
        <v>52</v>
      </c>
      <c r="H16" s="65"/>
      <c r="I16" s="65"/>
      <c r="J16" s="65" t="s">
        <v>54</v>
      </c>
      <c r="K16" s="66"/>
      <c r="L16" s="67"/>
      <c r="M16" s="26"/>
      <c r="N16" s="29"/>
    </row>
    <row r="17" spans="2:25" s="57" customFormat="1" ht="24.6" customHeight="1" x14ac:dyDescent="0.25">
      <c r="B17" s="64" t="s">
        <v>157</v>
      </c>
      <c r="C17" s="241" t="s">
        <v>158</v>
      </c>
      <c r="D17" s="241"/>
      <c r="E17" s="241"/>
      <c r="F17" s="241"/>
      <c r="G17" s="65" t="s">
        <v>52</v>
      </c>
      <c r="H17" s="65"/>
      <c r="I17" s="65"/>
      <c r="J17" s="65" t="s">
        <v>54</v>
      </c>
      <c r="K17" s="66"/>
      <c r="L17" s="67"/>
      <c r="M17" s="26"/>
      <c r="N17" s="29"/>
      <c r="R17" s="57" t="s">
        <v>9</v>
      </c>
    </row>
    <row r="18" spans="2:25" s="57" customFormat="1" ht="24.6" customHeight="1" x14ac:dyDescent="0.25">
      <c r="B18" s="64" t="s">
        <v>159</v>
      </c>
      <c r="C18" s="241" t="s">
        <v>160</v>
      </c>
      <c r="D18" s="241"/>
      <c r="E18" s="241"/>
      <c r="F18" s="241"/>
      <c r="G18" s="65" t="s">
        <v>52</v>
      </c>
      <c r="H18" s="65"/>
      <c r="I18" s="65"/>
      <c r="J18" s="65" t="s">
        <v>54</v>
      </c>
      <c r="K18" s="66"/>
      <c r="L18" s="67"/>
      <c r="M18" s="26"/>
      <c r="N18" s="29"/>
    </row>
    <row r="19" spans="2:25" s="57" customFormat="1" ht="24.6" customHeight="1" x14ac:dyDescent="0.25">
      <c r="B19" s="64" t="s">
        <v>161</v>
      </c>
      <c r="C19" s="241" t="s">
        <v>162</v>
      </c>
      <c r="D19" s="241"/>
      <c r="E19" s="241"/>
      <c r="F19" s="241"/>
      <c r="G19" s="65" t="s">
        <v>52</v>
      </c>
      <c r="H19" s="65"/>
      <c r="I19" s="65"/>
      <c r="J19" s="65" t="s">
        <v>54</v>
      </c>
      <c r="K19" s="66"/>
      <c r="L19" s="67"/>
      <c r="M19" s="26"/>
      <c r="N19" s="29"/>
    </row>
    <row r="20" spans="2:25" s="57" customFormat="1" ht="24.6" customHeight="1" x14ac:dyDescent="0.25">
      <c r="B20" s="64" t="s">
        <v>163</v>
      </c>
      <c r="C20" s="241" t="s">
        <v>419</v>
      </c>
      <c r="D20" s="241"/>
      <c r="E20" s="241"/>
      <c r="F20" s="241"/>
      <c r="G20" s="65" t="s">
        <v>52</v>
      </c>
      <c r="H20" s="65"/>
      <c r="I20" s="65"/>
      <c r="J20" s="65" t="s">
        <v>54</v>
      </c>
      <c r="K20" s="66"/>
      <c r="L20" s="67"/>
      <c r="M20" s="26"/>
      <c r="N20" s="29"/>
    </row>
    <row r="21" spans="2:25" s="57" customFormat="1" ht="24.6" customHeight="1" x14ac:dyDescent="0.25">
      <c r="B21" s="64" t="s">
        <v>164</v>
      </c>
      <c r="C21" s="241" t="s">
        <v>165</v>
      </c>
      <c r="D21" s="241"/>
      <c r="E21" s="241"/>
      <c r="F21" s="241"/>
      <c r="G21" s="65" t="s">
        <v>52</v>
      </c>
      <c r="H21" s="65"/>
      <c r="I21" s="65"/>
      <c r="J21" s="65" t="s">
        <v>54</v>
      </c>
      <c r="K21" s="66"/>
      <c r="L21" s="67"/>
      <c r="M21" s="158"/>
    </row>
    <row r="22" spans="2:25" s="57" customFormat="1" ht="24.6" customHeight="1" x14ac:dyDescent="0.25">
      <c r="B22" s="64" t="s">
        <v>166</v>
      </c>
      <c r="C22" s="241" t="s">
        <v>167</v>
      </c>
      <c r="D22" s="241"/>
      <c r="E22" s="241"/>
      <c r="F22" s="241"/>
      <c r="G22" s="65" t="s">
        <v>52</v>
      </c>
      <c r="H22" s="65"/>
      <c r="I22" s="65"/>
      <c r="J22" s="65" t="s">
        <v>54</v>
      </c>
      <c r="K22" s="66"/>
      <c r="L22" s="67"/>
      <c r="M22" s="158"/>
    </row>
    <row r="23" spans="2:25" s="57" customFormat="1" ht="24.6" customHeight="1" x14ac:dyDescent="0.25">
      <c r="B23" s="64" t="s">
        <v>168</v>
      </c>
      <c r="C23" s="241" t="s">
        <v>169</v>
      </c>
      <c r="D23" s="241"/>
      <c r="E23" s="241"/>
      <c r="F23" s="241"/>
      <c r="G23" s="65" t="s">
        <v>52</v>
      </c>
      <c r="H23" s="65"/>
      <c r="I23" s="65"/>
      <c r="J23" s="65" t="s">
        <v>54</v>
      </c>
      <c r="K23" s="66"/>
      <c r="L23" s="67"/>
      <c r="M23" s="158"/>
      <c r="P23" s="71"/>
      <c r="Y23" s="158"/>
    </row>
    <row r="24" spans="2:25" s="57" customFormat="1" ht="20.45" customHeight="1" x14ac:dyDescent="0.25">
      <c r="B24" s="64" t="s">
        <v>170</v>
      </c>
      <c r="C24" s="241" t="s">
        <v>426</v>
      </c>
      <c r="D24" s="241"/>
      <c r="E24" s="241"/>
      <c r="F24" s="241"/>
      <c r="G24" s="65" t="s">
        <v>52</v>
      </c>
      <c r="H24" s="65"/>
      <c r="I24" s="69"/>
      <c r="J24" s="65" t="s">
        <v>54</v>
      </c>
      <c r="K24" s="66"/>
      <c r="L24" s="67"/>
      <c r="M24" s="158"/>
    </row>
    <row r="25" spans="2:25" s="57" customFormat="1" ht="49.15" customHeight="1" x14ac:dyDescent="0.25">
      <c r="B25" s="64" t="s">
        <v>171</v>
      </c>
      <c r="C25" s="260" t="s">
        <v>420</v>
      </c>
      <c r="D25" s="261"/>
      <c r="E25" s="261"/>
      <c r="F25" s="262"/>
      <c r="G25" s="65" t="s">
        <v>54</v>
      </c>
      <c r="H25" s="160" t="s">
        <v>434</v>
      </c>
      <c r="I25" s="161" t="s">
        <v>441</v>
      </c>
      <c r="J25" s="65" t="s">
        <v>54</v>
      </c>
      <c r="K25" s="66"/>
      <c r="L25" s="67"/>
      <c r="M25" s="158"/>
    </row>
    <row r="26" spans="2:25" s="57" customFormat="1" ht="49.9" customHeight="1" x14ac:dyDescent="0.25">
      <c r="B26" s="64" t="s">
        <v>172</v>
      </c>
      <c r="C26" s="260" t="s">
        <v>173</v>
      </c>
      <c r="D26" s="261"/>
      <c r="E26" s="261"/>
      <c r="F26" s="262"/>
      <c r="G26" s="65" t="s">
        <v>54</v>
      </c>
      <c r="H26" s="160" t="s">
        <v>434</v>
      </c>
      <c r="I26" s="160" t="s">
        <v>444</v>
      </c>
      <c r="J26" s="65" t="s">
        <v>54</v>
      </c>
      <c r="K26" s="66"/>
      <c r="L26" s="67"/>
      <c r="M26" s="158"/>
    </row>
    <row r="27" spans="2:25" s="57" customFormat="1" ht="24.6" customHeight="1" x14ac:dyDescent="0.25">
      <c r="B27" s="64" t="s">
        <v>174</v>
      </c>
      <c r="C27" s="260" t="s">
        <v>175</v>
      </c>
      <c r="D27" s="261"/>
      <c r="E27" s="261"/>
      <c r="F27" s="262"/>
      <c r="G27" s="65" t="s">
        <v>52</v>
      </c>
      <c r="H27" s="65"/>
      <c r="I27" s="65"/>
      <c r="J27" s="65" t="s">
        <v>54</v>
      </c>
      <c r="K27" s="66"/>
      <c r="L27" s="67"/>
    </row>
    <row r="28" spans="2:25" s="57" customFormat="1" ht="24.6" customHeight="1" x14ac:dyDescent="0.25">
      <c r="B28" s="64" t="s">
        <v>176</v>
      </c>
      <c r="C28" s="260" t="s">
        <v>177</v>
      </c>
      <c r="D28" s="261"/>
      <c r="E28" s="261"/>
      <c r="F28" s="262"/>
      <c r="G28" s="65" t="s">
        <v>52</v>
      </c>
      <c r="H28" s="65"/>
      <c r="I28" s="65"/>
      <c r="J28" s="65" t="s">
        <v>54</v>
      </c>
      <c r="K28" s="66"/>
      <c r="L28" s="67"/>
    </row>
    <row r="29" spans="2:25" s="57" customFormat="1" ht="24.6" customHeight="1" x14ac:dyDescent="0.25">
      <c r="B29" s="64"/>
      <c r="C29" s="103"/>
      <c r="D29" s="104"/>
      <c r="E29" s="104"/>
      <c r="F29" s="105"/>
      <c r="G29" s="65"/>
      <c r="H29" s="65"/>
      <c r="I29" s="65"/>
      <c r="J29" s="65"/>
      <c r="K29" s="66"/>
      <c r="L29" s="67"/>
    </row>
    <row r="30" spans="2:25" s="57" customFormat="1" ht="24.6" customHeight="1" x14ac:dyDescent="0.25">
      <c r="B30" s="64"/>
      <c r="C30" s="260"/>
      <c r="D30" s="261"/>
      <c r="E30" s="261"/>
      <c r="F30" s="262"/>
      <c r="G30" s="65"/>
      <c r="H30" s="65"/>
      <c r="I30" s="65"/>
      <c r="J30" s="65"/>
      <c r="K30" s="66"/>
      <c r="L30" s="67"/>
    </row>
    <row r="31" spans="2:25" ht="24.6" customHeight="1" x14ac:dyDescent="0.2">
      <c r="K31" s="31"/>
      <c r="L31" s="31"/>
      <c r="M31" s="31"/>
      <c r="N31" s="31"/>
    </row>
    <row r="32" spans="2:25" ht="24.6" customHeight="1" x14ac:dyDescent="0.2">
      <c r="K32" s="31"/>
      <c r="L32" s="31"/>
      <c r="M32" s="31"/>
      <c r="N32" s="31"/>
    </row>
    <row r="33" spans="2:10" ht="12.95" customHeight="1" x14ac:dyDescent="0.2">
      <c r="B33" s="222"/>
      <c r="C33" s="223"/>
      <c r="D33" s="223"/>
      <c r="E33" s="223"/>
      <c r="F33" s="223"/>
      <c r="G33" s="46"/>
      <c r="H33" s="46"/>
      <c r="I33" s="46"/>
      <c r="J33" s="46"/>
    </row>
    <row r="34" spans="2:10" ht="12.95" customHeight="1" x14ac:dyDescent="0.2">
      <c r="B34" s="47"/>
      <c r="C34" s="221"/>
      <c r="D34" s="221"/>
      <c r="E34" s="221"/>
      <c r="F34" s="221"/>
    </row>
    <row r="35" spans="2:10" ht="12.95" customHeight="1" x14ac:dyDescent="0.2">
      <c r="B35" s="48"/>
      <c r="C35" s="221"/>
      <c r="D35" s="221"/>
      <c r="E35" s="221"/>
      <c r="F35" s="221"/>
    </row>
    <row r="36" spans="2:10" ht="12.95" customHeight="1" x14ac:dyDescent="0.2">
      <c r="B36" s="48"/>
      <c r="C36" s="221"/>
      <c r="D36" s="221"/>
      <c r="E36" s="221"/>
      <c r="F36" s="221"/>
    </row>
    <row r="37" spans="2:10" ht="12.95" customHeight="1" x14ac:dyDescent="0.2">
      <c r="B37" s="48"/>
      <c r="C37" s="221"/>
      <c r="D37" s="221"/>
      <c r="E37" s="221"/>
      <c r="F37" s="221"/>
    </row>
    <row r="38" spans="2:10" ht="12.95" customHeight="1" x14ac:dyDescent="0.2">
      <c r="B38" s="48"/>
      <c r="C38" s="221"/>
      <c r="D38" s="221"/>
      <c r="E38" s="221"/>
      <c r="F38" s="221"/>
    </row>
    <row r="39" spans="2:10" ht="12.95" customHeight="1" x14ac:dyDescent="0.2">
      <c r="B39" s="48"/>
      <c r="C39" s="221"/>
      <c r="D39" s="221"/>
      <c r="E39" s="221"/>
      <c r="F39" s="221"/>
    </row>
    <row r="40" spans="2:10" ht="12.95" customHeight="1" x14ac:dyDescent="0.2">
      <c r="B40" s="222"/>
      <c r="C40" s="223"/>
      <c r="D40" s="223"/>
      <c r="E40" s="223"/>
      <c r="F40" s="223"/>
    </row>
    <row r="41" spans="2:10" ht="12.95" customHeight="1" x14ac:dyDescent="0.2">
      <c r="B41" s="47"/>
      <c r="C41" s="221"/>
      <c r="D41" s="221"/>
      <c r="E41" s="221"/>
      <c r="F41" s="221"/>
    </row>
    <row r="42" spans="2:10" ht="12.95" customHeight="1" x14ac:dyDescent="0.2">
      <c r="B42" s="48"/>
      <c r="C42" s="221"/>
      <c r="D42" s="221"/>
      <c r="E42" s="221"/>
      <c r="F42" s="221"/>
    </row>
    <row r="43" spans="2:10" ht="12.95" customHeight="1" x14ac:dyDescent="0.2">
      <c r="B43" s="48"/>
      <c r="C43" s="221"/>
      <c r="D43" s="221"/>
      <c r="E43" s="221"/>
      <c r="F43" s="221"/>
    </row>
    <row r="44" spans="2:10" ht="12.95" customHeight="1" x14ac:dyDescent="0.2">
      <c r="B44" s="48"/>
      <c r="C44" s="221"/>
      <c r="D44" s="221"/>
      <c r="E44" s="221"/>
      <c r="F44" s="221"/>
    </row>
    <row r="45" spans="2:10" ht="12.95" customHeight="1" x14ac:dyDescent="0.2">
      <c r="B45" s="48"/>
      <c r="C45" s="221"/>
      <c r="D45" s="221"/>
      <c r="E45" s="221"/>
      <c r="F45" s="221"/>
    </row>
    <row r="46" spans="2:10" ht="12.95" customHeight="1" x14ac:dyDescent="0.2">
      <c r="B46" s="48"/>
      <c r="C46" s="221"/>
      <c r="D46" s="221"/>
      <c r="E46" s="221"/>
      <c r="F46" s="221"/>
    </row>
    <row r="47" spans="2:10" ht="12.95" customHeight="1" x14ac:dyDescent="0.2">
      <c r="B47" s="48"/>
      <c r="C47" s="221"/>
      <c r="D47" s="221"/>
      <c r="E47" s="221"/>
      <c r="F47" s="221"/>
    </row>
    <row r="48" spans="2:10" ht="12.95" customHeight="1" x14ac:dyDescent="0.2">
      <c r="B48" s="48"/>
      <c r="C48" s="221"/>
      <c r="D48" s="221"/>
      <c r="E48" s="221"/>
      <c r="F48" s="221"/>
    </row>
    <row r="49" spans="2:6" ht="12.95" customHeight="1" x14ac:dyDescent="0.2">
      <c r="B49" s="48"/>
      <c r="C49" s="221"/>
      <c r="D49" s="221"/>
      <c r="E49" s="221"/>
      <c r="F49" s="221"/>
    </row>
    <row r="50" spans="2:6" x14ac:dyDescent="0.2">
      <c r="B50" s="48"/>
      <c r="C50" s="221"/>
      <c r="D50" s="221"/>
      <c r="E50" s="221"/>
      <c r="F50" s="221"/>
    </row>
    <row r="51" spans="2:6" x14ac:dyDescent="0.2">
      <c r="B51" s="48"/>
      <c r="C51" s="221"/>
      <c r="D51" s="221"/>
      <c r="E51" s="221"/>
      <c r="F51" s="221"/>
    </row>
    <row r="52" spans="2:6" x14ac:dyDescent="0.2">
      <c r="B52" s="222"/>
      <c r="C52" s="223"/>
      <c r="D52" s="223"/>
      <c r="E52" s="223"/>
      <c r="F52" s="223"/>
    </row>
  </sheetData>
  <mergeCells count="55">
    <mergeCell ref="C30:F30"/>
    <mergeCell ref="C51:F51"/>
    <mergeCell ref="B52:F52"/>
    <mergeCell ref="C45:F45"/>
    <mergeCell ref="C46:F46"/>
    <mergeCell ref="C47:F47"/>
    <mergeCell ref="C48:F48"/>
    <mergeCell ref="C49:F49"/>
    <mergeCell ref="C50:F50"/>
    <mergeCell ref="C44:F44"/>
    <mergeCell ref="B33:F33"/>
    <mergeCell ref="C34:F34"/>
    <mergeCell ref="C35:F35"/>
    <mergeCell ref="C36:F36"/>
    <mergeCell ref="C37:F37"/>
    <mergeCell ref="C38:F38"/>
    <mergeCell ref="C39:F39"/>
    <mergeCell ref="B40:F40"/>
    <mergeCell ref="C41:F41"/>
    <mergeCell ref="C42:F42"/>
    <mergeCell ref="C43:F43"/>
    <mergeCell ref="C28:F28"/>
    <mergeCell ref="C18:F18"/>
    <mergeCell ref="C19:F19"/>
    <mergeCell ref="C20:F20"/>
    <mergeCell ref="C21:F21"/>
    <mergeCell ref="C22:F22"/>
    <mergeCell ref="C23:F23"/>
    <mergeCell ref="C24:F24"/>
    <mergeCell ref="C25:F25"/>
    <mergeCell ref="C26:F26"/>
    <mergeCell ref="C27:F27"/>
    <mergeCell ref="L12:L13"/>
    <mergeCell ref="C14:F14"/>
    <mergeCell ref="C15:F15"/>
    <mergeCell ref="C16:F16"/>
    <mergeCell ref="J12:J13"/>
    <mergeCell ref="K12:K13"/>
    <mergeCell ref="C17:F17"/>
    <mergeCell ref="B12:F13"/>
    <mergeCell ref="G12:G13"/>
    <mergeCell ref="H12:H13"/>
    <mergeCell ref="I12:I13"/>
    <mergeCell ref="J11:K11"/>
    <mergeCell ref="B2:D3"/>
    <mergeCell ref="E2:K3"/>
    <mergeCell ref="B4:D4"/>
    <mergeCell ref="E4:K5"/>
    <mergeCell ref="B5:D5"/>
    <mergeCell ref="B6:L6"/>
    <mergeCell ref="B8:C8"/>
    <mergeCell ref="D8:F8"/>
    <mergeCell ref="B9:C9"/>
    <mergeCell ref="D9:F9"/>
    <mergeCell ref="G11:H11"/>
  </mergeCells>
  <conditionalFormatting sqref="L15:L30">
    <cfRule type="containsText" dxfId="14" priority="1" operator="containsText" text="Yellow">
      <formula>NOT(ISERROR(SEARCH("Yellow",L15)))</formula>
    </cfRule>
    <cfRule type="cellIs" dxfId="13" priority="2" operator="equal">
      <formula>"Red"</formula>
    </cfRule>
    <cfRule type="containsText" dxfId="12" priority="3" operator="containsText" text="Green">
      <formula>NOT(ISERROR(SEARCH("Green",L15)))</formula>
    </cfRule>
  </conditionalFormatting>
  <dataValidations count="1">
    <dataValidation type="list" allowBlank="1" showInputMessage="1" showErrorMessage="1" sqref="J15:J29 G15:G29" xr:uid="{00000000-0002-0000-05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7F4A-88B8-4EC2-A75E-AE54680E14A5}">
  <sheetPr>
    <pageSetUpPr fitToPage="1"/>
  </sheetPr>
  <dimension ref="B1:Y51"/>
  <sheetViews>
    <sheetView showGridLines="0" topLeftCell="A13" zoomScaleNormal="100" zoomScaleSheetLayoutView="100" zoomScalePageLayoutView="66" workbookViewId="0">
      <selection activeCell="H16" sqref="H16"/>
    </sheetView>
  </sheetViews>
  <sheetFormatPr defaultColWidth="9.140625" defaultRowHeight="12.75" x14ac:dyDescent="0.2"/>
  <cols>
    <col min="1" max="1" width="3.1406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8" ht="13.5" thickBot="1" x14ac:dyDescent="0.25"/>
    <row r="2" spans="2:18" ht="14.25" customHeight="1" thickTop="1" x14ac:dyDescent="0.25">
      <c r="B2" s="174"/>
      <c r="C2" s="175"/>
      <c r="D2" s="175"/>
      <c r="E2" s="178" t="s">
        <v>0</v>
      </c>
      <c r="F2" s="179"/>
      <c r="G2" s="179"/>
      <c r="H2" s="179"/>
      <c r="I2" s="179"/>
      <c r="J2" s="179"/>
      <c r="K2" s="179"/>
      <c r="L2" s="2" t="s">
        <v>1</v>
      </c>
    </row>
    <row r="3" spans="2:18" ht="14.25" customHeight="1" x14ac:dyDescent="0.2">
      <c r="B3" s="176"/>
      <c r="C3" s="177"/>
      <c r="D3" s="177"/>
      <c r="E3" s="180"/>
      <c r="F3" s="181"/>
      <c r="G3" s="181"/>
      <c r="H3" s="181"/>
      <c r="I3" s="181"/>
      <c r="J3" s="181"/>
      <c r="K3" s="181"/>
      <c r="L3" s="13" t="str">
        <f>'Work Instruction pg.1'!K3</f>
        <v>18/04/2024</v>
      </c>
    </row>
    <row r="4" spans="2:18" ht="14.25" customHeight="1" x14ac:dyDescent="0.2">
      <c r="B4" s="182" t="s">
        <v>2</v>
      </c>
      <c r="C4" s="183"/>
      <c r="D4" s="184"/>
      <c r="E4" s="185" t="s">
        <v>3</v>
      </c>
      <c r="F4" s="186"/>
      <c r="G4" s="186"/>
      <c r="H4" s="186"/>
      <c r="I4" s="186"/>
      <c r="J4" s="186"/>
      <c r="K4" s="186"/>
      <c r="L4" s="3" t="s">
        <v>4</v>
      </c>
    </row>
    <row r="5" spans="2:18" ht="14.25" customHeight="1" x14ac:dyDescent="0.2">
      <c r="B5" s="235" t="s">
        <v>5</v>
      </c>
      <c r="C5" s="236"/>
      <c r="D5" s="237"/>
      <c r="E5" s="188"/>
      <c r="F5" s="189"/>
      <c r="G5" s="189"/>
      <c r="H5" s="189"/>
      <c r="I5" s="189"/>
      <c r="J5" s="189"/>
      <c r="K5" s="189"/>
      <c r="L5" s="5" t="str">
        <f>'Work Instruction pg.1'!K5</f>
        <v>7.0</v>
      </c>
    </row>
    <row r="6" spans="2:18" ht="23.25" customHeight="1" thickBot="1" x14ac:dyDescent="0.25">
      <c r="B6" s="238" t="s">
        <v>7</v>
      </c>
      <c r="C6" s="239"/>
      <c r="D6" s="239"/>
      <c r="E6" s="239"/>
      <c r="F6" s="239"/>
      <c r="G6" s="239"/>
      <c r="H6" s="239"/>
      <c r="I6" s="239"/>
      <c r="J6" s="239"/>
      <c r="K6" s="239"/>
      <c r="L6" s="240"/>
    </row>
    <row r="7" spans="2:18" ht="16.5" customHeight="1" thickTop="1" x14ac:dyDescent="0.25">
      <c r="C7" s="56"/>
      <c r="D7" s="17"/>
      <c r="E7" s="17"/>
      <c r="F7" s="17"/>
      <c r="G7" s="17"/>
      <c r="H7" s="17"/>
      <c r="I7" s="17"/>
      <c r="J7" s="8"/>
      <c r="K7" s="17"/>
      <c r="L7" s="17"/>
    </row>
    <row r="8" spans="2:18"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8"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8" ht="24.75" customHeight="1" x14ac:dyDescent="0.25">
      <c r="B10" s="21"/>
      <c r="C10" s="22"/>
      <c r="D10" s="58"/>
      <c r="E10" s="58"/>
      <c r="F10" s="58"/>
      <c r="G10" s="58"/>
      <c r="H10" s="21"/>
      <c r="I10" s="59"/>
      <c r="J10" s="58"/>
      <c r="K10" s="58"/>
      <c r="L10" s="58"/>
      <c r="M10" s="27"/>
      <c r="N10" s="27"/>
    </row>
    <row r="11" spans="2:18" ht="34.5" customHeight="1" x14ac:dyDescent="0.2">
      <c r="D11" s="26"/>
      <c r="E11" s="26"/>
      <c r="F11" s="60"/>
      <c r="G11" s="226" t="s">
        <v>150</v>
      </c>
      <c r="H11" s="227"/>
      <c r="I11" s="61"/>
      <c r="J11" s="265" t="s">
        <v>151</v>
      </c>
      <c r="K11" s="265"/>
      <c r="L11" s="62"/>
      <c r="M11" s="26"/>
      <c r="N11" s="29"/>
    </row>
    <row r="12" spans="2:18" ht="27" customHeight="1" x14ac:dyDescent="0.2">
      <c r="B12" s="267"/>
      <c r="C12" s="267"/>
      <c r="D12" s="267"/>
      <c r="E12" s="267"/>
      <c r="F12" s="267"/>
      <c r="G12" s="247" t="s">
        <v>71</v>
      </c>
      <c r="H12" s="247" t="s">
        <v>72</v>
      </c>
      <c r="I12" s="247" t="s">
        <v>73</v>
      </c>
      <c r="J12" s="247" t="s">
        <v>74</v>
      </c>
      <c r="K12" s="266" t="s">
        <v>21</v>
      </c>
      <c r="L12" s="247"/>
      <c r="M12" s="26"/>
      <c r="N12" s="29"/>
    </row>
    <row r="13" spans="2:18" ht="42" customHeight="1" x14ac:dyDescent="0.2">
      <c r="B13" s="268"/>
      <c r="C13" s="268"/>
      <c r="D13" s="268"/>
      <c r="E13" s="268"/>
      <c r="F13" s="268"/>
      <c r="G13" s="248"/>
      <c r="H13" s="248"/>
      <c r="I13" s="248"/>
      <c r="J13" s="248"/>
      <c r="K13" s="266"/>
      <c r="L13" s="253"/>
      <c r="M13" s="26"/>
      <c r="N13" s="29"/>
    </row>
    <row r="14" spans="2:18" ht="24.6" customHeight="1" x14ac:dyDescent="0.2">
      <c r="B14" s="72">
        <v>4</v>
      </c>
      <c r="C14" s="249" t="s">
        <v>178</v>
      </c>
      <c r="D14" s="250"/>
      <c r="E14" s="250"/>
      <c r="F14" s="251"/>
      <c r="G14" s="113"/>
      <c r="H14" s="114"/>
      <c r="I14" s="114"/>
      <c r="J14" s="114"/>
      <c r="K14" s="114"/>
      <c r="L14" s="115"/>
      <c r="M14" s="26"/>
      <c r="N14" s="29"/>
    </row>
    <row r="15" spans="2:18" ht="24.6" customHeight="1" x14ac:dyDescent="0.2">
      <c r="B15" s="64" t="s">
        <v>179</v>
      </c>
      <c r="C15" s="241" t="s">
        <v>180</v>
      </c>
      <c r="D15" s="241"/>
      <c r="E15" s="241"/>
      <c r="F15" s="241"/>
      <c r="G15" s="65" t="s">
        <v>52</v>
      </c>
      <c r="H15" s="65"/>
      <c r="I15" s="65"/>
      <c r="J15" s="65" t="s">
        <v>54</v>
      </c>
      <c r="K15" s="66"/>
      <c r="L15" s="67"/>
      <c r="M15" s="31"/>
      <c r="N15" s="31"/>
    </row>
    <row r="16" spans="2:18" ht="37.5" customHeight="1" x14ac:dyDescent="0.2">
      <c r="B16" s="64" t="s">
        <v>181</v>
      </c>
      <c r="C16" s="241" t="s">
        <v>182</v>
      </c>
      <c r="D16" s="241"/>
      <c r="E16" s="241"/>
      <c r="F16" s="241"/>
      <c r="G16" s="65" t="s">
        <v>54</v>
      </c>
      <c r="H16" s="160" t="s">
        <v>435</v>
      </c>
      <c r="I16" s="65"/>
      <c r="J16" s="65" t="s">
        <v>54</v>
      </c>
      <c r="K16" s="66"/>
      <c r="L16" s="67"/>
      <c r="M16" s="31"/>
      <c r="N16" s="31"/>
      <c r="R16" s="1" t="s">
        <v>9</v>
      </c>
    </row>
    <row r="17" spans="2:25" ht="24.6" customHeight="1" x14ac:dyDescent="0.2">
      <c r="B17" s="64" t="s">
        <v>183</v>
      </c>
      <c r="C17" s="241" t="s">
        <v>184</v>
      </c>
      <c r="D17" s="241"/>
      <c r="E17" s="241"/>
      <c r="F17" s="241"/>
      <c r="G17" s="65" t="s">
        <v>52</v>
      </c>
      <c r="H17" s="65"/>
      <c r="I17" s="65"/>
      <c r="J17" s="65" t="s">
        <v>54</v>
      </c>
      <c r="K17" s="66"/>
      <c r="L17" s="67"/>
      <c r="M17" s="31"/>
    </row>
    <row r="18" spans="2:25" ht="24.6" customHeight="1" x14ac:dyDescent="0.2">
      <c r="B18" s="64" t="s">
        <v>185</v>
      </c>
      <c r="C18" s="241" t="s">
        <v>186</v>
      </c>
      <c r="D18" s="241"/>
      <c r="E18" s="241"/>
      <c r="F18" s="241"/>
      <c r="G18" s="65" t="s">
        <v>64</v>
      </c>
      <c r="H18" s="65"/>
      <c r="I18" s="65"/>
      <c r="J18" s="65" t="s">
        <v>54</v>
      </c>
      <c r="K18" s="66"/>
      <c r="L18" s="67"/>
      <c r="M18" s="31"/>
      <c r="P18" s="71"/>
      <c r="Q18" s="57"/>
      <c r="R18" s="57"/>
      <c r="S18" s="57"/>
      <c r="T18" s="57"/>
      <c r="U18" s="57"/>
      <c r="V18" s="57"/>
      <c r="W18" s="57"/>
      <c r="X18" s="57"/>
      <c r="Y18" s="31"/>
    </row>
    <row r="19" spans="2:25" ht="24.6" customHeight="1" x14ac:dyDescent="0.2">
      <c r="B19" s="64" t="s">
        <v>187</v>
      </c>
      <c r="C19" s="241" t="s">
        <v>188</v>
      </c>
      <c r="D19" s="241"/>
      <c r="E19" s="241"/>
      <c r="F19" s="241"/>
      <c r="G19" s="65" t="s">
        <v>52</v>
      </c>
      <c r="H19" s="65"/>
      <c r="I19" s="65"/>
      <c r="J19" s="65" t="s">
        <v>54</v>
      </c>
      <c r="K19" s="66"/>
      <c r="L19" s="67"/>
      <c r="M19" s="31"/>
    </row>
    <row r="20" spans="2:25" ht="24.6" customHeight="1" x14ac:dyDescent="0.2">
      <c r="B20" s="64" t="s">
        <v>189</v>
      </c>
      <c r="C20" s="241" t="s">
        <v>190</v>
      </c>
      <c r="D20" s="241"/>
      <c r="E20" s="241"/>
      <c r="F20" s="241"/>
      <c r="G20" s="65" t="s">
        <v>52</v>
      </c>
      <c r="H20" s="65"/>
      <c r="I20" s="65"/>
      <c r="J20" s="65" t="s">
        <v>54</v>
      </c>
      <c r="K20" s="66"/>
      <c r="L20" s="67"/>
      <c r="M20" s="31"/>
    </row>
    <row r="21" spans="2:25" ht="24.6" customHeight="1" x14ac:dyDescent="0.2">
      <c r="B21" s="64" t="s">
        <v>191</v>
      </c>
      <c r="C21" s="241" t="s">
        <v>192</v>
      </c>
      <c r="D21" s="241"/>
      <c r="E21" s="241"/>
      <c r="F21" s="241"/>
      <c r="G21" s="65" t="s">
        <v>52</v>
      </c>
      <c r="H21" s="65"/>
      <c r="I21" s="65"/>
      <c r="J21" s="65" t="s">
        <v>54</v>
      </c>
      <c r="K21" s="66"/>
      <c r="L21" s="67"/>
      <c r="M21" s="31"/>
    </row>
    <row r="22" spans="2:25" ht="24.6" customHeight="1" x14ac:dyDescent="0.2">
      <c r="B22" s="64" t="s">
        <v>193</v>
      </c>
      <c r="C22" s="241" t="s">
        <v>194</v>
      </c>
      <c r="D22" s="241"/>
      <c r="E22" s="241"/>
      <c r="F22" s="241"/>
      <c r="G22" s="65" t="s">
        <v>52</v>
      </c>
      <c r="H22" s="65"/>
      <c r="I22" s="65"/>
      <c r="J22" s="65" t="s">
        <v>54</v>
      </c>
      <c r="K22" s="66"/>
      <c r="L22" s="67"/>
      <c r="M22" s="31"/>
    </row>
    <row r="23" spans="2:25" ht="24.6" customHeight="1" x14ac:dyDescent="0.2">
      <c r="B23" s="64" t="s">
        <v>195</v>
      </c>
      <c r="C23" s="241" t="s">
        <v>196</v>
      </c>
      <c r="D23" s="241"/>
      <c r="E23" s="241"/>
      <c r="F23" s="241"/>
      <c r="G23" s="65" t="s">
        <v>52</v>
      </c>
      <c r="H23" s="65"/>
      <c r="I23" s="65"/>
      <c r="J23" s="65" t="s">
        <v>54</v>
      </c>
      <c r="K23" s="66"/>
      <c r="L23" s="67"/>
      <c r="M23" s="31"/>
    </row>
    <row r="24" spans="2:25" ht="24.6" customHeight="1" x14ac:dyDescent="0.2">
      <c r="B24" s="64" t="s">
        <v>197</v>
      </c>
      <c r="C24" s="241" t="s">
        <v>198</v>
      </c>
      <c r="D24" s="241"/>
      <c r="E24" s="241"/>
      <c r="F24" s="241"/>
      <c r="G24" s="65" t="s">
        <v>52</v>
      </c>
      <c r="H24" s="65"/>
      <c r="I24" s="65"/>
      <c r="J24" s="65" t="s">
        <v>54</v>
      </c>
      <c r="K24" s="66"/>
      <c r="L24" s="67"/>
      <c r="M24" s="31"/>
    </row>
    <row r="25" spans="2:25" ht="24.6" customHeight="1" x14ac:dyDescent="0.2">
      <c r="B25" s="64" t="s">
        <v>199</v>
      </c>
      <c r="C25" s="241" t="s">
        <v>200</v>
      </c>
      <c r="D25" s="241"/>
      <c r="E25" s="241"/>
      <c r="F25" s="241"/>
      <c r="G25" s="65" t="s">
        <v>52</v>
      </c>
      <c r="H25" s="65"/>
      <c r="I25" s="65"/>
      <c r="J25" s="65" t="s">
        <v>54</v>
      </c>
      <c r="K25" s="66"/>
      <c r="L25" s="67"/>
      <c r="M25" s="31"/>
    </row>
    <row r="26" spans="2:25" ht="24.6" customHeight="1" x14ac:dyDescent="0.2">
      <c r="B26" s="64"/>
      <c r="C26" s="241"/>
      <c r="D26" s="241"/>
      <c r="E26" s="241"/>
      <c r="F26" s="241"/>
      <c r="G26" s="65"/>
      <c r="H26" s="160"/>
      <c r="I26" s="65"/>
      <c r="J26" s="65"/>
      <c r="K26" s="66"/>
      <c r="L26" s="67"/>
      <c r="M26" s="31"/>
    </row>
    <row r="27" spans="2:25" ht="24.6" customHeight="1" x14ac:dyDescent="0.2">
      <c r="B27" s="64"/>
      <c r="C27" s="241"/>
      <c r="D27" s="241"/>
      <c r="E27" s="241"/>
      <c r="F27" s="241"/>
      <c r="G27" s="65"/>
      <c r="H27" s="65"/>
      <c r="I27" s="65"/>
      <c r="J27" s="65"/>
      <c r="K27" s="66"/>
      <c r="L27" s="67"/>
      <c r="M27" s="31"/>
    </row>
    <row r="28" spans="2:25" ht="24.6" customHeight="1" x14ac:dyDescent="0.2">
      <c r="B28" s="31"/>
      <c r="C28" s="31"/>
    </row>
    <row r="29" spans="2:25" ht="24.6" customHeight="1" x14ac:dyDescent="0.2">
      <c r="B29" s="31"/>
      <c r="C29" s="31"/>
    </row>
    <row r="30" spans="2:25" ht="24.6" customHeight="1" x14ac:dyDescent="0.2">
      <c r="B30" s="31"/>
      <c r="C30" s="31"/>
    </row>
    <row r="31" spans="2:25" ht="24.6" customHeight="1" x14ac:dyDescent="0.2">
      <c r="B31" s="31"/>
      <c r="C31" s="31"/>
    </row>
    <row r="32" spans="2:25" ht="12.95" customHeight="1" x14ac:dyDescent="0.2">
      <c r="B32" s="222"/>
      <c r="C32" s="222"/>
      <c r="D32" s="222"/>
      <c r="E32" s="222"/>
      <c r="F32" s="222"/>
      <c r="G32" s="46"/>
      <c r="H32" s="46"/>
      <c r="I32" s="46"/>
      <c r="J32" s="46"/>
    </row>
    <row r="33" spans="2:6" ht="12.95" customHeight="1" x14ac:dyDescent="0.2">
      <c r="B33" s="47"/>
      <c r="C33" s="221"/>
      <c r="D33" s="221"/>
      <c r="E33" s="221"/>
      <c r="F33" s="221"/>
    </row>
    <row r="34" spans="2:6" ht="12.95" customHeight="1" x14ac:dyDescent="0.2">
      <c r="B34" s="48"/>
      <c r="C34" s="221"/>
      <c r="D34" s="221"/>
      <c r="E34" s="221"/>
      <c r="F34" s="221"/>
    </row>
    <row r="35" spans="2:6" ht="12.95" customHeight="1" x14ac:dyDescent="0.2">
      <c r="B35" s="48"/>
      <c r="C35" s="221"/>
      <c r="D35" s="221"/>
      <c r="E35" s="221"/>
      <c r="F35" s="221"/>
    </row>
    <row r="36" spans="2:6" ht="12.95" customHeight="1" x14ac:dyDescent="0.2">
      <c r="B36" s="48"/>
      <c r="C36" s="221"/>
      <c r="D36" s="221"/>
      <c r="E36" s="221"/>
      <c r="F36" s="221"/>
    </row>
    <row r="37" spans="2:6" ht="12.95" customHeight="1" x14ac:dyDescent="0.2">
      <c r="B37" s="48"/>
      <c r="C37" s="221"/>
      <c r="D37" s="221"/>
      <c r="E37" s="221"/>
      <c r="F37" s="221"/>
    </row>
    <row r="38" spans="2:6" ht="12.95" customHeight="1" x14ac:dyDescent="0.2">
      <c r="B38" s="48"/>
      <c r="C38" s="221"/>
      <c r="D38" s="221"/>
      <c r="E38" s="221"/>
      <c r="F38" s="221"/>
    </row>
    <row r="39" spans="2:6" ht="12.95" customHeight="1" x14ac:dyDescent="0.2">
      <c r="B39" s="222"/>
      <c r="C39" s="222"/>
      <c r="D39" s="222"/>
      <c r="E39" s="222"/>
      <c r="F39" s="222"/>
    </row>
    <row r="40" spans="2:6" ht="12.95" customHeight="1" x14ac:dyDescent="0.2">
      <c r="B40" s="47"/>
      <c r="C40" s="221"/>
      <c r="D40" s="221"/>
      <c r="E40" s="221"/>
      <c r="F40" s="221"/>
    </row>
    <row r="41" spans="2:6" ht="12.95" customHeight="1" x14ac:dyDescent="0.2">
      <c r="B41" s="48"/>
      <c r="C41" s="221"/>
      <c r="D41" s="221"/>
      <c r="E41" s="221"/>
      <c r="F41" s="221"/>
    </row>
    <row r="42" spans="2:6" ht="12.95" customHeight="1" x14ac:dyDescent="0.2">
      <c r="B42" s="48"/>
      <c r="C42" s="221"/>
      <c r="D42" s="221"/>
      <c r="E42" s="221"/>
      <c r="F42" s="221"/>
    </row>
    <row r="43" spans="2:6" ht="12.95" customHeight="1" x14ac:dyDescent="0.2">
      <c r="B43" s="48"/>
      <c r="C43" s="221"/>
      <c r="D43" s="221"/>
      <c r="E43" s="221"/>
      <c r="F43" s="221"/>
    </row>
    <row r="44" spans="2:6" ht="12.95" customHeight="1" x14ac:dyDescent="0.2">
      <c r="B44" s="48"/>
      <c r="C44" s="221"/>
      <c r="D44" s="221"/>
      <c r="E44" s="221"/>
      <c r="F44" s="221"/>
    </row>
    <row r="45" spans="2:6" ht="12.95" customHeight="1" x14ac:dyDescent="0.2">
      <c r="B45" s="48"/>
      <c r="C45" s="221"/>
      <c r="D45" s="221"/>
      <c r="E45" s="221"/>
      <c r="F45" s="221"/>
    </row>
    <row r="46" spans="2:6" ht="12.95" customHeight="1" x14ac:dyDescent="0.2">
      <c r="B46" s="48"/>
      <c r="C46" s="221"/>
      <c r="D46" s="221"/>
      <c r="E46" s="221"/>
      <c r="F46" s="221"/>
    </row>
    <row r="47" spans="2:6" ht="12.95" customHeight="1" x14ac:dyDescent="0.2">
      <c r="B47" s="48"/>
      <c r="C47" s="221"/>
      <c r="D47" s="221"/>
      <c r="E47" s="221"/>
      <c r="F47" s="221"/>
    </row>
    <row r="48" spans="2:6" ht="12.95" customHeight="1" x14ac:dyDescent="0.2">
      <c r="B48" s="48"/>
      <c r="C48" s="221"/>
      <c r="D48" s="221"/>
      <c r="E48" s="221"/>
      <c r="F48" s="221"/>
    </row>
    <row r="49" spans="2:6" x14ac:dyDescent="0.2">
      <c r="B49" s="48"/>
      <c r="C49" s="221"/>
      <c r="D49" s="221"/>
      <c r="E49" s="221"/>
      <c r="F49" s="221"/>
    </row>
    <row r="50" spans="2:6" x14ac:dyDescent="0.2">
      <c r="B50" s="48"/>
      <c r="C50" s="221"/>
      <c r="D50" s="221"/>
      <c r="E50" s="221"/>
      <c r="F50" s="221"/>
    </row>
    <row r="51" spans="2:6" x14ac:dyDescent="0.2">
      <c r="B51" s="222"/>
      <c r="C51" s="223"/>
      <c r="D51" s="223"/>
      <c r="E51" s="223"/>
      <c r="F51" s="223"/>
    </row>
  </sheetData>
  <mergeCells count="53">
    <mergeCell ref="B51:F51"/>
    <mergeCell ref="C40:F40"/>
    <mergeCell ref="C41:F41"/>
    <mergeCell ref="C42:F42"/>
    <mergeCell ref="C43:F43"/>
    <mergeCell ref="C44:F44"/>
    <mergeCell ref="C45:F45"/>
    <mergeCell ref="C46:F46"/>
    <mergeCell ref="C47:F47"/>
    <mergeCell ref="C48:F48"/>
    <mergeCell ref="C49:F49"/>
    <mergeCell ref="C50:F50"/>
    <mergeCell ref="C20:F20"/>
    <mergeCell ref="C21:F21"/>
    <mergeCell ref="B39:F39"/>
    <mergeCell ref="C23:F23"/>
    <mergeCell ref="C24:F24"/>
    <mergeCell ref="C25:F25"/>
    <mergeCell ref="B32:F32"/>
    <mergeCell ref="C33:F33"/>
    <mergeCell ref="C34:F34"/>
    <mergeCell ref="C35:F35"/>
    <mergeCell ref="C36:F36"/>
    <mergeCell ref="C37:F37"/>
    <mergeCell ref="C38:F38"/>
    <mergeCell ref="C22:F22"/>
    <mergeCell ref="C27:F27"/>
    <mergeCell ref="C26:F26"/>
    <mergeCell ref="L12:L13"/>
    <mergeCell ref="C17:F17"/>
    <mergeCell ref="C18:F18"/>
    <mergeCell ref="C19:F19"/>
    <mergeCell ref="J11:K11"/>
    <mergeCell ref="G11:H11"/>
    <mergeCell ref="C16:F16"/>
    <mergeCell ref="C14:F14"/>
    <mergeCell ref="C15:F15"/>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5:L27">
    <cfRule type="containsText" dxfId="11" priority="4" operator="containsText" text="Yellow">
      <formula>NOT(ISERROR(SEARCH("Yellow",L15)))</formula>
    </cfRule>
    <cfRule type="cellIs" dxfId="10" priority="5" operator="equal">
      <formula>"Red"</formula>
    </cfRule>
    <cfRule type="containsText" dxfId="9" priority="6" operator="containsText" text="Green">
      <formula>NOT(ISERROR(SEARCH("Green",L15)))</formula>
    </cfRule>
  </conditionalFormatting>
  <dataValidations count="1">
    <dataValidation type="list" allowBlank="1" showInputMessage="1" showErrorMessage="1" sqref="J15:J25 G15:G25" xr:uid="{00000000-0002-0000-06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C7DD-4AE2-42EC-9221-BF84468597AC}">
  <sheetPr>
    <pageSetUpPr fitToPage="1"/>
  </sheetPr>
  <dimension ref="B1:R42"/>
  <sheetViews>
    <sheetView showGridLines="0" topLeftCell="A10" zoomScale="85" zoomScaleNormal="85" zoomScaleSheetLayoutView="100" zoomScalePageLayoutView="66" workbookViewId="0">
      <selection activeCell="C17" sqref="C17:F17"/>
    </sheetView>
  </sheetViews>
  <sheetFormatPr defaultColWidth="9.140625" defaultRowHeight="12.75" x14ac:dyDescent="0.2"/>
  <cols>
    <col min="1" max="1" width="3.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4"/>
      <c r="C2" s="175"/>
      <c r="D2" s="175"/>
      <c r="E2" s="178" t="s">
        <v>0</v>
      </c>
      <c r="F2" s="179"/>
      <c r="G2" s="179"/>
      <c r="H2" s="179"/>
      <c r="I2" s="179"/>
      <c r="J2" s="179"/>
      <c r="K2" s="179"/>
      <c r="L2" s="2" t="s">
        <v>1</v>
      </c>
    </row>
    <row r="3" spans="2:14" ht="14.25" customHeight="1" x14ac:dyDescent="0.2">
      <c r="B3" s="176"/>
      <c r="C3" s="177"/>
      <c r="D3" s="177"/>
      <c r="E3" s="180"/>
      <c r="F3" s="181"/>
      <c r="G3" s="181"/>
      <c r="H3" s="181"/>
      <c r="I3" s="181"/>
      <c r="J3" s="181"/>
      <c r="K3" s="181"/>
      <c r="L3" s="13" t="str">
        <f>'Work Instruction pg.1'!K3</f>
        <v>18/04/2024</v>
      </c>
    </row>
    <row r="4" spans="2:14" ht="14.25" customHeight="1" x14ac:dyDescent="0.2">
      <c r="B4" s="182" t="s">
        <v>2</v>
      </c>
      <c r="C4" s="183"/>
      <c r="D4" s="184"/>
      <c r="E4" s="185" t="s">
        <v>3</v>
      </c>
      <c r="F4" s="186"/>
      <c r="G4" s="186"/>
      <c r="H4" s="186"/>
      <c r="I4" s="186"/>
      <c r="J4" s="186"/>
      <c r="K4" s="186"/>
      <c r="L4" s="3" t="s">
        <v>4</v>
      </c>
    </row>
    <row r="5" spans="2:14" ht="14.25" customHeight="1" x14ac:dyDescent="0.2">
      <c r="B5" s="235" t="s">
        <v>5</v>
      </c>
      <c r="C5" s="236"/>
      <c r="D5" s="237"/>
      <c r="E5" s="188"/>
      <c r="F5" s="189"/>
      <c r="G5" s="189"/>
      <c r="H5" s="189"/>
      <c r="I5" s="189"/>
      <c r="J5" s="189"/>
      <c r="K5" s="189"/>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4"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150</v>
      </c>
      <c r="H11" s="227"/>
      <c r="I11" s="61"/>
      <c r="J11" s="265" t="s">
        <v>151</v>
      </c>
      <c r="K11" s="265"/>
      <c r="L11" s="62"/>
      <c r="M11" s="26"/>
      <c r="N11" s="29"/>
    </row>
    <row r="12" spans="2:14" ht="27" customHeight="1" x14ac:dyDescent="0.2">
      <c r="B12" s="267"/>
      <c r="C12" s="267"/>
      <c r="D12" s="267"/>
      <c r="E12" s="267"/>
      <c r="F12" s="267"/>
      <c r="G12" s="247" t="s">
        <v>71</v>
      </c>
      <c r="H12" s="247" t="s">
        <v>72</v>
      </c>
      <c r="I12" s="247" t="s">
        <v>73</v>
      </c>
      <c r="J12" s="247" t="s">
        <v>74</v>
      </c>
      <c r="K12" s="266" t="s">
        <v>21</v>
      </c>
      <c r="L12" s="247"/>
      <c r="M12" s="26"/>
      <c r="N12" s="29"/>
    </row>
    <row r="13" spans="2:14" ht="42" customHeight="1" x14ac:dyDescent="0.2">
      <c r="B13" s="268"/>
      <c r="C13" s="268"/>
      <c r="D13" s="268"/>
      <c r="E13" s="268"/>
      <c r="F13" s="268"/>
      <c r="G13" s="248"/>
      <c r="H13" s="248"/>
      <c r="I13" s="248"/>
      <c r="J13" s="248"/>
      <c r="K13" s="266"/>
      <c r="L13" s="253"/>
      <c r="M13" s="26"/>
      <c r="N13" s="29"/>
    </row>
    <row r="14" spans="2:14" ht="24.6" customHeight="1" x14ac:dyDescent="0.2">
      <c r="B14" s="63" t="s">
        <v>202</v>
      </c>
      <c r="C14" s="269" t="s">
        <v>203</v>
      </c>
      <c r="D14" s="269"/>
      <c r="E14" s="269"/>
      <c r="F14" s="269"/>
      <c r="G14" s="113"/>
      <c r="H14" s="114"/>
      <c r="I14" s="114"/>
      <c r="J14" s="114"/>
      <c r="K14" s="114"/>
      <c r="L14" s="115"/>
      <c r="M14" s="26"/>
      <c r="N14" s="29"/>
    </row>
    <row r="15" spans="2:14" ht="24.6" customHeight="1" x14ac:dyDescent="0.2">
      <c r="B15" s="64" t="s">
        <v>204</v>
      </c>
      <c r="C15" s="260" t="s">
        <v>421</v>
      </c>
      <c r="D15" s="261"/>
      <c r="E15" s="261"/>
      <c r="F15" s="262"/>
      <c r="G15" s="65" t="s">
        <v>52</v>
      </c>
      <c r="H15" s="65"/>
      <c r="I15" s="65"/>
      <c r="J15" s="65" t="s">
        <v>54</v>
      </c>
      <c r="K15" s="66"/>
      <c r="L15" s="67"/>
      <c r="M15" s="26"/>
      <c r="N15" s="29"/>
    </row>
    <row r="16" spans="2:14" ht="24.6" customHeight="1" x14ac:dyDescent="0.2">
      <c r="B16" s="64" t="s">
        <v>205</v>
      </c>
      <c r="C16" s="241" t="s">
        <v>206</v>
      </c>
      <c r="D16" s="241"/>
      <c r="E16" s="241"/>
      <c r="F16" s="241"/>
      <c r="G16" s="65" t="s">
        <v>52</v>
      </c>
      <c r="H16" s="65"/>
      <c r="I16" s="65"/>
      <c r="J16" s="65" t="s">
        <v>54</v>
      </c>
      <c r="K16" s="66"/>
      <c r="L16" s="67"/>
      <c r="M16" s="26"/>
      <c r="N16" s="29"/>
    </row>
    <row r="17" spans="2:18" ht="24.6" customHeight="1" x14ac:dyDescent="0.2">
      <c r="B17" s="64" t="s">
        <v>207</v>
      </c>
      <c r="C17" s="241" t="s">
        <v>208</v>
      </c>
      <c r="D17" s="241"/>
      <c r="E17" s="241"/>
      <c r="F17" s="241"/>
      <c r="G17" s="65" t="s">
        <v>52</v>
      </c>
      <c r="H17" s="65"/>
      <c r="I17" s="65"/>
      <c r="J17" s="65" t="s">
        <v>54</v>
      </c>
      <c r="K17" s="66"/>
      <c r="L17" s="67"/>
      <c r="M17" s="26"/>
      <c r="N17" s="29"/>
      <c r="R17" s="1" t="s">
        <v>9</v>
      </c>
    </row>
    <row r="18" spans="2:18" ht="24.6" customHeight="1" x14ac:dyDescent="0.2">
      <c r="B18" s="64" t="s">
        <v>209</v>
      </c>
      <c r="C18" s="241" t="s">
        <v>210</v>
      </c>
      <c r="D18" s="241"/>
      <c r="E18" s="241"/>
      <c r="F18" s="241"/>
      <c r="G18" s="65" t="s">
        <v>52</v>
      </c>
      <c r="H18" s="65"/>
      <c r="I18" s="65"/>
      <c r="J18" s="65" t="s">
        <v>54</v>
      </c>
      <c r="K18" s="66"/>
      <c r="L18" s="67"/>
      <c r="M18" s="26"/>
      <c r="N18" s="29"/>
    </row>
    <row r="19" spans="2:18" ht="78" customHeight="1" x14ac:dyDescent="0.2">
      <c r="B19" s="64" t="s">
        <v>211</v>
      </c>
      <c r="C19" s="241" t="s">
        <v>212</v>
      </c>
      <c r="D19" s="241"/>
      <c r="E19" s="241"/>
      <c r="F19" s="241"/>
      <c r="G19" s="65" t="s">
        <v>52</v>
      </c>
      <c r="H19" s="65"/>
      <c r="I19" s="69"/>
      <c r="J19" s="65" t="s">
        <v>54</v>
      </c>
      <c r="K19" s="66"/>
      <c r="L19" s="67"/>
      <c r="M19" s="26"/>
      <c r="N19" s="29"/>
    </row>
    <row r="20" spans="2:18" ht="24.6" customHeight="1" x14ac:dyDescent="0.2">
      <c r="B20" s="64" t="s">
        <v>213</v>
      </c>
      <c r="C20" s="241" t="s">
        <v>214</v>
      </c>
      <c r="D20" s="241"/>
      <c r="E20" s="241"/>
      <c r="F20" s="241"/>
      <c r="G20" s="65" t="s">
        <v>52</v>
      </c>
      <c r="H20" s="65"/>
      <c r="I20" s="65"/>
      <c r="J20" s="65" t="s">
        <v>54</v>
      </c>
      <c r="K20" s="66"/>
      <c r="L20" s="67"/>
      <c r="M20" s="26"/>
      <c r="N20" s="29"/>
    </row>
    <row r="21" spans="2:18" ht="24.6" customHeight="1" x14ac:dyDescent="0.2">
      <c r="B21" s="64" t="s">
        <v>215</v>
      </c>
      <c r="C21" s="241" t="s">
        <v>216</v>
      </c>
      <c r="D21" s="241"/>
      <c r="E21" s="241"/>
      <c r="F21" s="241"/>
      <c r="G21" s="65" t="s">
        <v>52</v>
      </c>
      <c r="H21" s="65"/>
      <c r="I21" s="65"/>
      <c r="J21" s="65" t="s">
        <v>54</v>
      </c>
      <c r="K21" s="66"/>
      <c r="L21" s="67"/>
      <c r="M21" s="26"/>
      <c r="N21" s="29"/>
    </row>
    <row r="22" spans="2:18" ht="24.6" customHeight="1" x14ac:dyDescent="0.2">
      <c r="B22" s="64" t="s">
        <v>217</v>
      </c>
      <c r="C22" s="241" t="s">
        <v>422</v>
      </c>
      <c r="D22" s="241"/>
      <c r="E22" s="241"/>
      <c r="F22" s="241"/>
      <c r="G22" s="65" t="s">
        <v>64</v>
      </c>
      <c r="H22" s="65"/>
      <c r="I22" s="65"/>
      <c r="J22" s="65" t="s">
        <v>54</v>
      </c>
      <c r="K22" s="66"/>
      <c r="L22" s="67"/>
      <c r="M22" s="31"/>
      <c r="N22" s="31"/>
    </row>
    <row r="23" spans="2:18" ht="24.6" customHeight="1" x14ac:dyDescent="0.2">
      <c r="B23" s="64" t="s">
        <v>218</v>
      </c>
      <c r="C23" s="241" t="s">
        <v>219</v>
      </c>
      <c r="D23" s="241"/>
      <c r="E23" s="241"/>
      <c r="F23" s="241"/>
      <c r="G23" s="65" t="s">
        <v>64</v>
      </c>
      <c r="H23" s="65"/>
      <c r="I23" s="65"/>
      <c r="J23" s="65" t="s">
        <v>54</v>
      </c>
      <c r="K23" s="66"/>
      <c r="L23" s="67"/>
      <c r="M23" s="31"/>
      <c r="N23" s="31"/>
    </row>
    <row r="24" spans="2:18" ht="24.95" customHeight="1" x14ac:dyDescent="0.2">
      <c r="B24" s="64" t="s">
        <v>220</v>
      </c>
      <c r="C24" s="241" t="s">
        <v>221</v>
      </c>
      <c r="D24" s="241"/>
      <c r="E24" s="241"/>
      <c r="F24" s="241"/>
      <c r="G24" s="65" t="s">
        <v>64</v>
      </c>
      <c r="H24" s="65"/>
      <c r="I24" s="65"/>
      <c r="J24" s="65" t="s">
        <v>54</v>
      </c>
      <c r="K24" s="66"/>
      <c r="L24" s="67"/>
      <c r="M24" s="31"/>
      <c r="N24" s="31"/>
    </row>
    <row r="25" spans="2:18" ht="24.95" customHeight="1" x14ac:dyDescent="0.2">
      <c r="B25" s="64" t="s">
        <v>222</v>
      </c>
      <c r="C25" s="241" t="s">
        <v>223</v>
      </c>
      <c r="D25" s="241"/>
      <c r="E25" s="241"/>
      <c r="F25" s="241"/>
      <c r="G25" s="65" t="s">
        <v>52</v>
      </c>
      <c r="H25" s="65"/>
      <c r="I25" s="65"/>
      <c r="J25" s="65" t="s">
        <v>54</v>
      </c>
      <c r="K25" s="66"/>
      <c r="L25" s="67"/>
    </row>
    <row r="26" spans="2:18" ht="24.95" customHeight="1" x14ac:dyDescent="0.2">
      <c r="B26" s="64" t="s">
        <v>224</v>
      </c>
      <c r="C26" s="241" t="s">
        <v>225</v>
      </c>
      <c r="D26" s="241"/>
      <c r="E26" s="241"/>
      <c r="F26" s="241"/>
      <c r="G26" s="65" t="s">
        <v>52</v>
      </c>
      <c r="H26" s="65"/>
      <c r="I26" s="65"/>
      <c r="J26" s="65" t="s">
        <v>54</v>
      </c>
      <c r="K26" s="66"/>
      <c r="L26" s="67"/>
    </row>
    <row r="27" spans="2:18" ht="24.95" customHeight="1" x14ac:dyDescent="0.2">
      <c r="B27" s="64" t="s">
        <v>226</v>
      </c>
      <c r="C27" s="241" t="s">
        <v>227</v>
      </c>
      <c r="D27" s="241"/>
      <c r="E27" s="241"/>
      <c r="F27" s="241"/>
      <c r="G27" s="65" t="s">
        <v>52</v>
      </c>
      <c r="H27" s="65"/>
      <c r="I27" s="65"/>
      <c r="J27" s="65" t="s">
        <v>54</v>
      </c>
      <c r="K27" s="66"/>
      <c r="L27" s="67"/>
    </row>
    <row r="28" spans="2:18" ht="24.95" customHeight="1" x14ac:dyDescent="0.2">
      <c r="B28" s="64"/>
      <c r="C28" s="241"/>
      <c r="D28" s="241"/>
      <c r="E28" s="241"/>
      <c r="F28" s="241"/>
      <c r="G28" s="65"/>
      <c r="H28" s="65"/>
      <c r="I28" s="65"/>
      <c r="J28" s="65"/>
      <c r="K28" s="66"/>
      <c r="L28" s="67"/>
    </row>
    <row r="29" spans="2:18" ht="24.95" customHeight="1" x14ac:dyDescent="0.2">
      <c r="B29" s="64"/>
      <c r="C29" s="241"/>
      <c r="D29" s="241"/>
      <c r="E29" s="241"/>
      <c r="F29" s="241"/>
      <c r="G29" s="65"/>
      <c r="H29" s="65"/>
      <c r="I29" s="65"/>
      <c r="J29" s="65"/>
      <c r="K29" s="66"/>
      <c r="L29" s="67"/>
    </row>
    <row r="30" spans="2:18" ht="24.95" customHeight="1" x14ac:dyDescent="0.2"/>
    <row r="31" spans="2:18" ht="24.95" customHeight="1" x14ac:dyDescent="0.2"/>
    <row r="32" spans="2:18" ht="12.95" customHeight="1" x14ac:dyDescent="0.2">
      <c r="B32" s="48"/>
      <c r="C32" s="221"/>
      <c r="D32" s="221"/>
      <c r="E32" s="221"/>
      <c r="F32" s="221"/>
    </row>
    <row r="33" spans="2:6" ht="12.95" customHeight="1" x14ac:dyDescent="0.2">
      <c r="B33" s="48"/>
      <c r="C33" s="221"/>
      <c r="D33" s="221"/>
      <c r="E33" s="221"/>
      <c r="F33" s="221"/>
    </row>
    <row r="34" spans="2:6" ht="12.95" customHeight="1" x14ac:dyDescent="0.2">
      <c r="B34" s="48"/>
      <c r="C34" s="221"/>
      <c r="D34" s="221"/>
      <c r="E34" s="221"/>
      <c r="F34" s="221"/>
    </row>
    <row r="35" spans="2:6" ht="12.95" customHeight="1" x14ac:dyDescent="0.2">
      <c r="B35" s="48"/>
      <c r="C35" s="221"/>
      <c r="D35" s="221"/>
      <c r="E35" s="221"/>
      <c r="F35" s="221"/>
    </row>
    <row r="36" spans="2:6" ht="12.95" customHeight="1" x14ac:dyDescent="0.2">
      <c r="B36" s="48"/>
      <c r="C36" s="221"/>
      <c r="D36" s="221"/>
      <c r="E36" s="221"/>
      <c r="F36" s="221"/>
    </row>
    <row r="37" spans="2:6" ht="12.95" customHeight="1" x14ac:dyDescent="0.2">
      <c r="B37" s="48"/>
      <c r="C37" s="221"/>
      <c r="D37" s="221"/>
      <c r="E37" s="221"/>
      <c r="F37" s="221"/>
    </row>
    <row r="38" spans="2:6" ht="12.95" customHeight="1" x14ac:dyDescent="0.2">
      <c r="B38" s="48"/>
      <c r="C38" s="221"/>
      <c r="D38" s="221"/>
      <c r="E38" s="221"/>
      <c r="F38" s="221"/>
    </row>
    <row r="39" spans="2:6" ht="12.95" customHeight="1" x14ac:dyDescent="0.2">
      <c r="B39" s="48"/>
      <c r="C39" s="221"/>
      <c r="D39" s="221"/>
      <c r="E39" s="221"/>
      <c r="F39" s="221"/>
    </row>
    <row r="40" spans="2:6" x14ac:dyDescent="0.2">
      <c r="B40" s="48"/>
      <c r="C40" s="221"/>
      <c r="D40" s="221"/>
      <c r="E40" s="221"/>
      <c r="F40" s="221"/>
    </row>
    <row r="41" spans="2:6" x14ac:dyDescent="0.2">
      <c r="B41" s="48"/>
      <c r="C41" s="221"/>
      <c r="D41" s="221"/>
      <c r="E41" s="221"/>
      <c r="F41" s="221"/>
    </row>
    <row r="42" spans="2:6" x14ac:dyDescent="0.2">
      <c r="B42" s="222"/>
      <c r="C42" s="223"/>
      <c r="D42" s="223"/>
      <c r="E42" s="223"/>
      <c r="F42" s="223"/>
    </row>
  </sheetData>
  <mergeCells count="46">
    <mergeCell ref="C39:F39"/>
    <mergeCell ref="C40:F40"/>
    <mergeCell ref="C41:F41"/>
    <mergeCell ref="C29:F29"/>
    <mergeCell ref="B42:F42"/>
    <mergeCell ref="C38:F38"/>
    <mergeCell ref="C21:F21"/>
    <mergeCell ref="C37:F37"/>
    <mergeCell ref="C23:F23"/>
    <mergeCell ref="C24:F24"/>
    <mergeCell ref="C25:F25"/>
    <mergeCell ref="C26:F26"/>
    <mergeCell ref="C27:F27"/>
    <mergeCell ref="C32:F32"/>
    <mergeCell ref="C33:F33"/>
    <mergeCell ref="C34:F34"/>
    <mergeCell ref="C35:F35"/>
    <mergeCell ref="C36:F36"/>
    <mergeCell ref="C22:F22"/>
    <mergeCell ref="C28:F28"/>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5:L29">
    <cfRule type="containsText" dxfId="8" priority="7" operator="containsText" text="Yellow">
      <formula>NOT(ISERROR(SEARCH("Yellow",L15)))</formula>
    </cfRule>
    <cfRule type="cellIs" dxfId="7" priority="8" operator="equal">
      <formula>"Red"</formula>
    </cfRule>
    <cfRule type="containsText" dxfId="6" priority="9" operator="containsText" text="Green">
      <formula>NOT(ISERROR(SEARCH("Green",L15)))</formula>
    </cfRule>
  </conditionalFormatting>
  <dataValidations count="1">
    <dataValidation type="list" allowBlank="1" showInputMessage="1" showErrorMessage="1" sqref="J15:J27 G15:G27" xr:uid="{00000000-0002-0000-07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DBC1-6C2A-40B0-8077-794901297B69}">
  <sheetPr>
    <pageSetUpPr fitToPage="1"/>
  </sheetPr>
  <dimension ref="B1:R45"/>
  <sheetViews>
    <sheetView showGridLines="0" topLeftCell="A22" zoomScale="115" zoomScaleNormal="115" zoomScaleSheetLayoutView="100" workbookViewId="0">
      <selection activeCell="C25" sqref="C25:F25"/>
    </sheetView>
  </sheetViews>
  <sheetFormatPr defaultColWidth="9.140625" defaultRowHeight="12.75" x14ac:dyDescent="0.2"/>
  <cols>
    <col min="1" max="1" width="3"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4"/>
      <c r="C2" s="175"/>
      <c r="D2" s="175"/>
      <c r="E2" s="178" t="s">
        <v>0</v>
      </c>
      <c r="F2" s="179"/>
      <c r="G2" s="179"/>
      <c r="H2" s="179"/>
      <c r="I2" s="179"/>
      <c r="J2" s="179"/>
      <c r="K2" s="179"/>
      <c r="L2" s="2" t="s">
        <v>1</v>
      </c>
    </row>
    <row r="3" spans="2:14" ht="14.25" customHeight="1" x14ac:dyDescent="0.2">
      <c r="B3" s="176"/>
      <c r="C3" s="177"/>
      <c r="D3" s="177"/>
      <c r="E3" s="180"/>
      <c r="F3" s="181"/>
      <c r="G3" s="181"/>
      <c r="H3" s="181"/>
      <c r="I3" s="181"/>
      <c r="J3" s="181"/>
      <c r="K3" s="181"/>
      <c r="L3" s="13" t="str">
        <f>'Work Instruction pg.1'!K3</f>
        <v>18/04/2024</v>
      </c>
    </row>
    <row r="4" spans="2:14" ht="14.25" customHeight="1" x14ac:dyDescent="0.2">
      <c r="B4" s="182" t="s">
        <v>2</v>
      </c>
      <c r="C4" s="183"/>
      <c r="D4" s="184"/>
      <c r="E4" s="185" t="s">
        <v>3</v>
      </c>
      <c r="F4" s="186"/>
      <c r="G4" s="186"/>
      <c r="H4" s="186"/>
      <c r="I4" s="186"/>
      <c r="J4" s="186"/>
      <c r="K4" s="186"/>
      <c r="L4" s="3" t="s">
        <v>4</v>
      </c>
    </row>
    <row r="5" spans="2:14" ht="14.25" customHeight="1" x14ac:dyDescent="0.2">
      <c r="B5" s="235" t="s">
        <v>5</v>
      </c>
      <c r="C5" s="236"/>
      <c r="D5" s="237"/>
      <c r="E5" s="188"/>
      <c r="F5" s="189"/>
      <c r="G5" s="189"/>
      <c r="H5" s="189"/>
      <c r="I5" s="189"/>
      <c r="J5" s="189"/>
      <c r="K5" s="189"/>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4"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150</v>
      </c>
      <c r="H11" s="227"/>
      <c r="I11" s="61"/>
      <c r="J11" s="265" t="s">
        <v>151</v>
      </c>
      <c r="K11" s="265"/>
      <c r="L11" s="62"/>
      <c r="M11" s="26"/>
      <c r="N11" s="29"/>
    </row>
    <row r="12" spans="2:14" ht="27" customHeight="1" x14ac:dyDescent="0.2">
      <c r="B12" s="267"/>
      <c r="C12" s="267"/>
      <c r="D12" s="267"/>
      <c r="E12" s="267"/>
      <c r="F12" s="267"/>
      <c r="G12" s="247" t="s">
        <v>71</v>
      </c>
      <c r="H12" s="247" t="s">
        <v>72</v>
      </c>
      <c r="I12" s="247" t="s">
        <v>73</v>
      </c>
      <c r="J12" s="247" t="s">
        <v>74</v>
      </c>
      <c r="K12" s="266" t="s">
        <v>21</v>
      </c>
      <c r="L12" s="247"/>
      <c r="M12" s="26"/>
      <c r="N12" s="29"/>
    </row>
    <row r="13" spans="2:14" ht="42" customHeight="1" x14ac:dyDescent="0.2">
      <c r="B13" s="268"/>
      <c r="C13" s="268"/>
      <c r="D13" s="268"/>
      <c r="E13" s="268"/>
      <c r="F13" s="268"/>
      <c r="G13" s="248"/>
      <c r="H13" s="248"/>
      <c r="I13" s="248"/>
      <c r="J13" s="248"/>
      <c r="K13" s="266"/>
      <c r="L13" s="253"/>
      <c r="M13" s="26"/>
      <c r="N13" s="29"/>
    </row>
    <row r="14" spans="2:14" ht="24.6" customHeight="1" x14ac:dyDescent="0.2">
      <c r="B14" s="63">
        <v>6</v>
      </c>
      <c r="C14" s="269" t="s">
        <v>228</v>
      </c>
      <c r="D14" s="269"/>
      <c r="E14" s="269"/>
      <c r="F14" s="269"/>
      <c r="G14" s="113"/>
      <c r="H14" s="114"/>
      <c r="I14" s="114"/>
      <c r="J14" s="114"/>
      <c r="K14" s="114"/>
      <c r="L14" s="115"/>
      <c r="M14" s="26"/>
      <c r="N14" s="29"/>
    </row>
    <row r="15" spans="2:14" ht="24.6" customHeight="1" x14ac:dyDescent="0.2">
      <c r="B15" s="64" t="s">
        <v>229</v>
      </c>
      <c r="C15" s="241" t="s">
        <v>230</v>
      </c>
      <c r="D15" s="241"/>
      <c r="E15" s="241"/>
      <c r="F15" s="241"/>
      <c r="G15" s="65" t="s">
        <v>52</v>
      </c>
      <c r="H15" s="65"/>
      <c r="I15" s="65"/>
      <c r="J15" s="65" t="s">
        <v>54</v>
      </c>
      <c r="K15" s="66"/>
      <c r="L15" s="67"/>
      <c r="M15" s="26"/>
      <c r="N15" s="29"/>
    </row>
    <row r="16" spans="2:14" ht="24.6" customHeight="1" x14ac:dyDescent="0.2">
      <c r="B16" s="64" t="s">
        <v>231</v>
      </c>
      <c r="C16" s="241" t="s">
        <v>232</v>
      </c>
      <c r="D16" s="241"/>
      <c r="E16" s="241"/>
      <c r="F16" s="241"/>
      <c r="G16" s="65" t="s">
        <v>52</v>
      </c>
      <c r="H16" s="65"/>
      <c r="I16" s="65"/>
      <c r="J16" s="65" t="s">
        <v>54</v>
      </c>
      <c r="K16" s="66"/>
      <c r="L16" s="67"/>
      <c r="M16" s="26"/>
      <c r="N16" s="29"/>
    </row>
    <row r="17" spans="2:18" ht="24.6" customHeight="1" x14ac:dyDescent="0.2">
      <c r="B17" s="64" t="s">
        <v>233</v>
      </c>
      <c r="C17" s="241" t="s">
        <v>234</v>
      </c>
      <c r="D17" s="241"/>
      <c r="E17" s="241"/>
      <c r="F17" s="241"/>
      <c r="G17" s="65" t="s">
        <v>52</v>
      </c>
      <c r="H17" s="65"/>
      <c r="I17" s="65"/>
      <c r="J17" s="65" t="s">
        <v>54</v>
      </c>
      <c r="K17" s="66"/>
      <c r="L17" s="67"/>
      <c r="M17" s="26"/>
      <c r="N17" s="29"/>
      <c r="R17" s="1" t="s">
        <v>9</v>
      </c>
    </row>
    <row r="18" spans="2:18" ht="24.6" customHeight="1" x14ac:dyDescent="0.2">
      <c r="B18" s="64" t="s">
        <v>235</v>
      </c>
      <c r="C18" s="241" t="s">
        <v>236</v>
      </c>
      <c r="D18" s="241"/>
      <c r="E18" s="241"/>
      <c r="F18" s="241"/>
      <c r="G18" s="65" t="s">
        <v>52</v>
      </c>
      <c r="H18" s="65"/>
      <c r="I18" s="65"/>
      <c r="J18" s="65" t="s">
        <v>54</v>
      </c>
      <c r="K18" s="66"/>
      <c r="L18" s="67"/>
      <c r="M18" s="26"/>
      <c r="N18" s="29"/>
    </row>
    <row r="19" spans="2:18" ht="24.6" customHeight="1" x14ac:dyDescent="0.2">
      <c r="B19" s="64" t="s">
        <v>237</v>
      </c>
      <c r="C19" s="241" t="s">
        <v>238</v>
      </c>
      <c r="D19" s="241"/>
      <c r="E19" s="241"/>
      <c r="F19" s="241"/>
      <c r="G19" s="65" t="s">
        <v>52</v>
      </c>
      <c r="H19" s="65"/>
      <c r="I19" s="65"/>
      <c r="J19" s="65" t="s">
        <v>54</v>
      </c>
      <c r="K19" s="66"/>
      <c r="L19" s="67"/>
      <c r="M19" s="26"/>
      <c r="N19" s="29"/>
    </row>
    <row r="20" spans="2:18" ht="24.6" customHeight="1" x14ac:dyDescent="0.2">
      <c r="B20" s="64" t="s">
        <v>239</v>
      </c>
      <c r="C20" s="241" t="s">
        <v>240</v>
      </c>
      <c r="D20" s="241"/>
      <c r="E20" s="241"/>
      <c r="F20" s="241"/>
      <c r="G20" s="65" t="s">
        <v>52</v>
      </c>
      <c r="H20" s="65"/>
      <c r="I20" s="65"/>
      <c r="J20" s="65" t="s">
        <v>54</v>
      </c>
      <c r="K20" s="66"/>
      <c r="L20" s="67"/>
      <c r="M20" s="26"/>
      <c r="N20" s="29"/>
    </row>
    <row r="21" spans="2:18" ht="24.6" customHeight="1" x14ac:dyDescent="0.2">
      <c r="B21" s="64" t="s">
        <v>241</v>
      </c>
      <c r="C21" s="241" t="s">
        <v>242</v>
      </c>
      <c r="D21" s="241"/>
      <c r="E21" s="241"/>
      <c r="F21" s="241"/>
      <c r="G21" s="65" t="s">
        <v>52</v>
      </c>
      <c r="H21" s="65"/>
      <c r="I21" s="65"/>
      <c r="J21" s="65" t="s">
        <v>54</v>
      </c>
      <c r="K21" s="66"/>
      <c r="L21" s="67"/>
      <c r="M21" s="26"/>
      <c r="N21" s="29"/>
    </row>
    <row r="22" spans="2:18" ht="24.6" customHeight="1" x14ac:dyDescent="0.2">
      <c r="B22" s="64" t="s">
        <v>243</v>
      </c>
      <c r="C22" s="241" t="s">
        <v>244</v>
      </c>
      <c r="D22" s="241"/>
      <c r="E22" s="241"/>
      <c r="F22" s="241"/>
      <c r="G22" s="65" t="s">
        <v>52</v>
      </c>
      <c r="H22" s="65"/>
      <c r="I22" s="65"/>
      <c r="J22" s="65" t="s">
        <v>54</v>
      </c>
      <c r="K22" s="66"/>
      <c r="L22" s="67"/>
      <c r="M22" s="26"/>
      <c r="N22" s="29"/>
    </row>
    <row r="23" spans="2:18" ht="24.6" customHeight="1" x14ac:dyDescent="0.2">
      <c r="B23" s="64" t="s">
        <v>245</v>
      </c>
      <c r="C23" s="241" t="s">
        <v>246</v>
      </c>
      <c r="D23" s="241"/>
      <c r="E23" s="241"/>
      <c r="F23" s="241"/>
      <c r="G23" s="65" t="s">
        <v>52</v>
      </c>
      <c r="H23" s="65"/>
      <c r="I23" s="69"/>
      <c r="J23" s="65" t="s">
        <v>54</v>
      </c>
      <c r="K23" s="66"/>
      <c r="L23" s="67"/>
      <c r="M23" s="31"/>
      <c r="N23" s="31"/>
    </row>
    <row r="24" spans="2:18" ht="24.95" customHeight="1" x14ac:dyDescent="0.2">
      <c r="B24" s="64" t="s">
        <v>247</v>
      </c>
      <c r="C24" s="260" t="s">
        <v>248</v>
      </c>
      <c r="D24" s="261"/>
      <c r="E24" s="261"/>
      <c r="F24" s="262"/>
      <c r="G24" s="65" t="s">
        <v>52</v>
      </c>
      <c r="H24" s="160"/>
      <c r="I24" s="160"/>
      <c r="J24" s="65" t="s">
        <v>54</v>
      </c>
      <c r="K24" s="66"/>
      <c r="L24" s="67"/>
      <c r="M24" s="31"/>
      <c r="N24" s="31"/>
    </row>
    <row r="25" spans="2:18" ht="24.95" customHeight="1" x14ac:dyDescent="0.2">
      <c r="B25" s="64" t="s">
        <v>249</v>
      </c>
      <c r="C25" s="260" t="s">
        <v>250</v>
      </c>
      <c r="D25" s="261"/>
      <c r="E25" s="261"/>
      <c r="F25" s="262"/>
      <c r="G25" s="65" t="s">
        <v>52</v>
      </c>
      <c r="H25" s="160"/>
      <c r="I25" s="159"/>
      <c r="J25" s="65" t="s">
        <v>54</v>
      </c>
      <c r="K25" s="66"/>
      <c r="L25" s="67"/>
    </row>
    <row r="26" spans="2:18" ht="24.95" customHeight="1" x14ac:dyDescent="0.2">
      <c r="B26" s="64" t="s">
        <v>251</v>
      </c>
      <c r="C26" s="241" t="s">
        <v>252</v>
      </c>
      <c r="D26" s="241"/>
      <c r="E26" s="241"/>
      <c r="F26" s="241"/>
      <c r="G26" s="65" t="s">
        <v>52</v>
      </c>
      <c r="H26" s="160" t="s">
        <v>434</v>
      </c>
      <c r="I26" s="65"/>
      <c r="J26" s="65" t="s">
        <v>54</v>
      </c>
      <c r="K26" s="66"/>
      <c r="L26" s="67"/>
    </row>
    <row r="27" spans="2:18" ht="46.5" customHeight="1" x14ac:dyDescent="0.2">
      <c r="B27" s="64" t="s">
        <v>253</v>
      </c>
      <c r="C27" s="260" t="s">
        <v>424</v>
      </c>
      <c r="D27" s="261"/>
      <c r="E27" s="261"/>
      <c r="F27" s="262"/>
      <c r="G27" s="65" t="s">
        <v>52</v>
      </c>
      <c r="H27" s="160"/>
      <c r="I27" s="160" t="s">
        <v>445</v>
      </c>
      <c r="J27" s="65" t="s">
        <v>54</v>
      </c>
      <c r="K27" s="66"/>
      <c r="L27" s="67"/>
    </row>
    <row r="28" spans="2:18" ht="24.6" customHeight="1" x14ac:dyDescent="0.2">
      <c r="B28" s="64" t="s">
        <v>254</v>
      </c>
      <c r="C28" s="241" t="s">
        <v>255</v>
      </c>
      <c r="D28" s="241"/>
      <c r="E28" s="241"/>
      <c r="F28" s="241"/>
      <c r="G28" s="65" t="s">
        <v>52</v>
      </c>
      <c r="H28" s="159"/>
      <c r="I28" s="159"/>
      <c r="J28" s="65" t="s">
        <v>54</v>
      </c>
      <c r="K28" s="66"/>
      <c r="L28" s="67"/>
    </row>
    <row r="29" spans="2:18" ht="24.6" customHeight="1" x14ac:dyDescent="0.2">
      <c r="B29" s="64" t="s">
        <v>256</v>
      </c>
      <c r="C29" s="270" t="s">
        <v>257</v>
      </c>
      <c r="D29" s="271"/>
      <c r="E29" s="271"/>
      <c r="F29" s="272"/>
      <c r="G29" s="65" t="s">
        <v>52</v>
      </c>
      <c r="H29" s="159"/>
      <c r="I29" s="159"/>
      <c r="J29" s="65" t="s">
        <v>54</v>
      </c>
      <c r="K29" s="66"/>
      <c r="L29" s="67"/>
    </row>
    <row r="30" spans="2:18" ht="24.6" customHeight="1" x14ac:dyDescent="0.2">
      <c r="B30" s="64" t="s">
        <v>258</v>
      </c>
      <c r="C30" s="241" t="s">
        <v>259</v>
      </c>
      <c r="D30" s="241"/>
      <c r="E30" s="241"/>
      <c r="F30" s="241"/>
      <c r="G30" s="65" t="s">
        <v>52</v>
      </c>
      <c r="H30" s="159"/>
      <c r="I30" s="159"/>
      <c r="J30" s="65" t="s">
        <v>54</v>
      </c>
      <c r="K30" s="66"/>
      <c r="L30" s="67"/>
    </row>
    <row r="31" spans="2:18" ht="24.6" customHeight="1" x14ac:dyDescent="0.2">
      <c r="B31" s="64" t="s">
        <v>260</v>
      </c>
      <c r="C31" s="241" t="s">
        <v>261</v>
      </c>
      <c r="D31" s="241"/>
      <c r="E31" s="241"/>
      <c r="F31" s="241"/>
      <c r="G31" s="65" t="s">
        <v>52</v>
      </c>
      <c r="H31" s="159"/>
      <c r="I31" s="159"/>
      <c r="J31" s="65" t="s">
        <v>54</v>
      </c>
      <c r="K31" s="66"/>
      <c r="L31" s="67"/>
    </row>
    <row r="32" spans="2:18" ht="24.6" customHeight="1" x14ac:dyDescent="0.2">
      <c r="B32" s="64" t="s">
        <v>262</v>
      </c>
      <c r="C32" s="241" t="s">
        <v>263</v>
      </c>
      <c r="D32" s="241"/>
      <c r="E32" s="241"/>
      <c r="F32" s="241"/>
      <c r="G32" s="65" t="s">
        <v>52</v>
      </c>
      <c r="H32" s="159"/>
      <c r="I32" s="159"/>
      <c r="J32" s="65" t="s">
        <v>54</v>
      </c>
      <c r="K32" s="66"/>
      <c r="L32" s="67"/>
    </row>
    <row r="33" spans="2:12" ht="24.6" customHeight="1" x14ac:dyDescent="0.2">
      <c r="B33" s="64" t="s">
        <v>264</v>
      </c>
      <c r="C33" s="241" t="s">
        <v>265</v>
      </c>
      <c r="D33" s="241"/>
      <c r="E33" s="241"/>
      <c r="F33" s="241"/>
      <c r="G33" s="65" t="s">
        <v>52</v>
      </c>
      <c r="H33" s="159"/>
      <c r="I33" s="159"/>
      <c r="J33" s="65" t="s">
        <v>54</v>
      </c>
      <c r="K33" s="66"/>
      <c r="L33" s="67"/>
    </row>
    <row r="34" spans="2:12" ht="24.6" customHeight="1" x14ac:dyDescent="0.2">
      <c r="B34" s="64" t="s">
        <v>266</v>
      </c>
      <c r="C34" s="241" t="s">
        <v>267</v>
      </c>
      <c r="D34" s="241"/>
      <c r="E34" s="241"/>
      <c r="F34" s="241"/>
      <c r="G34" s="65" t="s">
        <v>52</v>
      </c>
      <c r="H34" s="160" t="s">
        <v>434</v>
      </c>
      <c r="I34" s="159"/>
      <c r="J34" s="65" t="s">
        <v>54</v>
      </c>
      <c r="K34" s="66"/>
      <c r="L34" s="67"/>
    </row>
    <row r="35" spans="2:12" ht="24.6" customHeight="1" x14ac:dyDescent="0.2">
      <c r="B35" s="64" t="s">
        <v>268</v>
      </c>
      <c r="C35" s="241" t="s">
        <v>269</v>
      </c>
      <c r="D35" s="241"/>
      <c r="E35" s="241"/>
      <c r="F35" s="241"/>
      <c r="G35" s="65" t="s">
        <v>52</v>
      </c>
      <c r="H35" s="65"/>
      <c r="I35" s="65"/>
      <c r="J35" s="65" t="s">
        <v>54</v>
      </c>
      <c r="K35" s="66"/>
      <c r="L35" s="67"/>
    </row>
    <row r="36" spans="2:12" ht="24.6" customHeight="1" x14ac:dyDescent="0.2">
      <c r="B36" s="64" t="s">
        <v>270</v>
      </c>
      <c r="C36" s="241" t="s">
        <v>271</v>
      </c>
      <c r="D36" s="241"/>
      <c r="E36" s="241"/>
      <c r="F36" s="241"/>
      <c r="G36" s="65" t="s">
        <v>52</v>
      </c>
      <c r="H36" s="65"/>
      <c r="I36" s="65"/>
      <c r="J36" s="65" t="s">
        <v>54</v>
      </c>
      <c r="K36" s="66"/>
      <c r="L36" s="67"/>
    </row>
    <row r="37" spans="2:12" ht="24.6" customHeight="1" x14ac:dyDescent="0.2">
      <c r="B37" s="64" t="s">
        <v>423</v>
      </c>
      <c r="C37" s="241" t="s">
        <v>425</v>
      </c>
      <c r="D37" s="241"/>
      <c r="E37" s="241"/>
      <c r="F37" s="241"/>
      <c r="G37" s="65" t="s">
        <v>52</v>
      </c>
      <c r="H37" s="65"/>
      <c r="I37" s="65"/>
      <c r="J37" s="65" t="s">
        <v>54</v>
      </c>
      <c r="K37" s="66"/>
      <c r="L37" s="67"/>
    </row>
    <row r="38" spans="2:12" ht="24.6" customHeight="1" x14ac:dyDescent="0.2">
      <c r="B38" s="64"/>
      <c r="C38" s="241"/>
      <c r="D38" s="241"/>
      <c r="E38" s="241"/>
      <c r="F38" s="241"/>
      <c r="G38" s="65"/>
      <c r="H38" s="65"/>
      <c r="I38" s="65"/>
      <c r="J38" s="65"/>
      <c r="K38" s="66"/>
      <c r="L38" s="67"/>
    </row>
    <row r="39" spans="2:12" ht="24.6" customHeight="1" x14ac:dyDescent="0.2">
      <c r="B39" s="64"/>
      <c r="C39" s="241"/>
      <c r="D39" s="241"/>
      <c r="E39" s="241"/>
      <c r="F39" s="241"/>
      <c r="G39" s="65"/>
      <c r="H39" s="65"/>
      <c r="I39" s="65"/>
      <c r="J39" s="65"/>
      <c r="K39" s="66"/>
      <c r="L39" s="67"/>
    </row>
    <row r="40" spans="2:12" ht="12.95" customHeight="1" x14ac:dyDescent="0.2">
      <c r="B40" s="48"/>
      <c r="C40" s="221"/>
      <c r="D40" s="221"/>
      <c r="E40" s="221"/>
      <c r="F40" s="221"/>
    </row>
    <row r="41" spans="2:12" ht="12.95" customHeight="1" x14ac:dyDescent="0.2">
      <c r="B41" s="48"/>
      <c r="C41" s="221"/>
      <c r="D41" s="221"/>
      <c r="E41" s="221"/>
      <c r="F41" s="221"/>
    </row>
    <row r="42" spans="2:12" ht="12.95" customHeight="1" x14ac:dyDescent="0.2">
      <c r="B42" s="48"/>
      <c r="C42" s="221"/>
      <c r="D42" s="221"/>
      <c r="E42" s="221"/>
      <c r="F42" s="221"/>
    </row>
    <row r="43" spans="2:12" x14ac:dyDescent="0.2">
      <c r="B43" s="48"/>
      <c r="C43" s="221"/>
      <c r="D43" s="221"/>
      <c r="E43" s="221"/>
      <c r="F43" s="221"/>
    </row>
    <row r="44" spans="2:12" x14ac:dyDescent="0.2">
      <c r="B44" s="48"/>
      <c r="C44" s="221"/>
      <c r="D44" s="221"/>
      <c r="E44" s="221"/>
      <c r="F44" s="221"/>
    </row>
    <row r="45" spans="2:12" x14ac:dyDescent="0.2">
      <c r="B45" s="222"/>
      <c r="C45" s="223"/>
      <c r="D45" s="223"/>
      <c r="E45" s="223"/>
      <c r="F45" s="223"/>
    </row>
  </sheetData>
  <mergeCells count="51">
    <mergeCell ref="C42:F42"/>
    <mergeCell ref="C43:F43"/>
    <mergeCell ref="C44:F44"/>
    <mergeCell ref="B45:F45"/>
    <mergeCell ref="C35:F35"/>
    <mergeCell ref="C36:F36"/>
    <mergeCell ref="C38:F38"/>
    <mergeCell ref="C39:F39"/>
    <mergeCell ref="C40:F40"/>
    <mergeCell ref="C41:F41"/>
    <mergeCell ref="C37:F37"/>
    <mergeCell ref="C20:F20"/>
    <mergeCell ref="C21:F21"/>
    <mergeCell ref="C34:F34"/>
    <mergeCell ref="C23:F23"/>
    <mergeCell ref="C24:F24"/>
    <mergeCell ref="C25:F25"/>
    <mergeCell ref="C26:F26"/>
    <mergeCell ref="C27:F27"/>
    <mergeCell ref="C28:F28"/>
    <mergeCell ref="C29:F29"/>
    <mergeCell ref="C30:F30"/>
    <mergeCell ref="C31:F31"/>
    <mergeCell ref="C32:F32"/>
    <mergeCell ref="C33:F33"/>
    <mergeCell ref="C22:F22"/>
    <mergeCell ref="L12:L13"/>
    <mergeCell ref="C18:F18"/>
    <mergeCell ref="C19:F19"/>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5:L39">
    <cfRule type="containsText" dxfId="5" priority="1" operator="containsText" text="Yellow">
      <formula>NOT(ISERROR(SEARCH("Yellow",L15)))</formula>
    </cfRule>
    <cfRule type="cellIs" dxfId="4" priority="2" operator="equal">
      <formula>"Red"</formula>
    </cfRule>
    <cfRule type="containsText" dxfId="3" priority="3" operator="containsText" text="Green">
      <formula>NOT(ISERROR(SEARCH("Green",L15)))</formula>
    </cfRule>
  </conditionalFormatting>
  <dataValidations count="1">
    <dataValidation type="list" allowBlank="1" showInputMessage="1" showErrorMessage="1" sqref="J15:J37 G15:G37" xr:uid="{00000000-0002-0000-08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292-4F51-4608-ADE2-7AEBC8B2DE3F}">
  <sheetPr>
    <pageSetUpPr fitToPage="1"/>
  </sheetPr>
  <dimension ref="B1:R47"/>
  <sheetViews>
    <sheetView showGridLines="0" topLeftCell="A6" zoomScale="85" zoomScaleNormal="85" zoomScaleSheetLayoutView="100" workbookViewId="0">
      <selection activeCell="C24" sqref="C24:F24"/>
    </sheetView>
  </sheetViews>
  <sheetFormatPr defaultColWidth="9.140625" defaultRowHeight="12.75" x14ac:dyDescent="0.2"/>
  <cols>
    <col min="1" max="1" width="2.8554687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4"/>
      <c r="C2" s="175"/>
      <c r="D2" s="175"/>
      <c r="E2" s="178" t="s">
        <v>0</v>
      </c>
      <c r="F2" s="179"/>
      <c r="G2" s="179"/>
      <c r="H2" s="179"/>
      <c r="I2" s="179"/>
      <c r="J2" s="179"/>
      <c r="K2" s="179"/>
      <c r="L2" s="2" t="s">
        <v>1</v>
      </c>
    </row>
    <row r="3" spans="2:14" ht="14.25" customHeight="1" x14ac:dyDescent="0.2">
      <c r="B3" s="176"/>
      <c r="C3" s="177"/>
      <c r="D3" s="177"/>
      <c r="E3" s="180"/>
      <c r="F3" s="181"/>
      <c r="G3" s="181"/>
      <c r="H3" s="181"/>
      <c r="I3" s="181"/>
      <c r="J3" s="181"/>
      <c r="K3" s="181"/>
      <c r="L3" s="13" t="str">
        <f>'Work Instruction pg.1'!K3</f>
        <v>18/04/2024</v>
      </c>
    </row>
    <row r="4" spans="2:14" ht="14.25" customHeight="1" x14ac:dyDescent="0.2">
      <c r="B4" s="182" t="s">
        <v>2</v>
      </c>
      <c r="C4" s="183"/>
      <c r="D4" s="184"/>
      <c r="E4" s="185" t="s">
        <v>3</v>
      </c>
      <c r="F4" s="186"/>
      <c r="G4" s="186"/>
      <c r="H4" s="186"/>
      <c r="I4" s="186"/>
      <c r="J4" s="186"/>
      <c r="K4" s="186"/>
      <c r="L4" s="3" t="s">
        <v>4</v>
      </c>
    </row>
    <row r="5" spans="2:14" ht="14.25" customHeight="1" x14ac:dyDescent="0.2">
      <c r="B5" s="235" t="s">
        <v>5</v>
      </c>
      <c r="C5" s="236"/>
      <c r="D5" s="237"/>
      <c r="E5" s="188"/>
      <c r="F5" s="189"/>
      <c r="G5" s="189"/>
      <c r="H5" s="189"/>
      <c r="I5" s="189"/>
      <c r="J5" s="189"/>
      <c r="K5" s="189"/>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4"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46</v>
      </c>
      <c r="H11" s="227"/>
      <c r="I11" s="61"/>
      <c r="J11" s="265" t="s">
        <v>48</v>
      </c>
      <c r="K11" s="265"/>
      <c r="L11" s="62"/>
      <c r="M11" s="26"/>
      <c r="N11" s="29"/>
    </row>
    <row r="12" spans="2:14" ht="27" customHeight="1" x14ac:dyDescent="0.2">
      <c r="B12" s="267"/>
      <c r="C12" s="267"/>
      <c r="D12" s="267"/>
      <c r="E12" s="267"/>
      <c r="F12" s="267"/>
      <c r="G12" s="247" t="s">
        <v>71</v>
      </c>
      <c r="H12" s="247" t="s">
        <v>72</v>
      </c>
      <c r="I12" s="247" t="s">
        <v>73</v>
      </c>
      <c r="J12" s="247" t="s">
        <v>74</v>
      </c>
      <c r="K12" s="266" t="s">
        <v>21</v>
      </c>
      <c r="L12" s="247"/>
      <c r="M12" s="26"/>
      <c r="N12" s="29"/>
    </row>
    <row r="13" spans="2:14" ht="42" customHeight="1" x14ac:dyDescent="0.2">
      <c r="B13" s="268"/>
      <c r="C13" s="268"/>
      <c r="D13" s="268"/>
      <c r="E13" s="268"/>
      <c r="F13" s="268"/>
      <c r="G13" s="248"/>
      <c r="H13" s="248"/>
      <c r="I13" s="248"/>
      <c r="J13" s="248"/>
      <c r="K13" s="266"/>
      <c r="L13" s="253"/>
      <c r="M13" s="26"/>
      <c r="N13" s="29"/>
    </row>
    <row r="14" spans="2:14" ht="24.6" customHeight="1" x14ac:dyDescent="0.2">
      <c r="B14" s="63" t="s">
        <v>272</v>
      </c>
      <c r="C14" s="269" t="s">
        <v>273</v>
      </c>
      <c r="D14" s="269"/>
      <c r="E14" s="269"/>
      <c r="F14" s="269"/>
      <c r="G14" s="113"/>
      <c r="H14" s="114"/>
      <c r="I14" s="114"/>
      <c r="J14" s="114"/>
      <c r="K14" s="114"/>
      <c r="L14" s="115"/>
      <c r="M14" s="26"/>
      <c r="N14" s="29"/>
    </row>
    <row r="15" spans="2:14" ht="24.6" customHeight="1" x14ac:dyDescent="0.2">
      <c r="B15" s="64" t="s">
        <v>274</v>
      </c>
      <c r="C15" s="241" t="s">
        <v>275</v>
      </c>
      <c r="D15" s="241"/>
      <c r="E15" s="241"/>
      <c r="F15" s="241"/>
      <c r="G15" s="65" t="s">
        <v>52</v>
      </c>
      <c r="H15" s="65"/>
      <c r="I15" s="65"/>
      <c r="J15" s="65" t="s">
        <v>54</v>
      </c>
      <c r="K15" s="66"/>
      <c r="L15" s="67"/>
      <c r="M15" s="26"/>
      <c r="N15" s="29"/>
    </row>
    <row r="16" spans="2:14" ht="24.6" customHeight="1" x14ac:dyDescent="0.2">
      <c r="B16" s="64" t="s">
        <v>276</v>
      </c>
      <c r="C16" s="241" t="s">
        <v>277</v>
      </c>
      <c r="D16" s="241"/>
      <c r="E16" s="241"/>
      <c r="F16" s="241"/>
      <c r="G16" s="65" t="s">
        <v>52</v>
      </c>
      <c r="H16" s="65"/>
      <c r="I16" s="65"/>
      <c r="J16" s="65" t="s">
        <v>54</v>
      </c>
      <c r="K16" s="66"/>
      <c r="L16" s="67"/>
      <c r="M16" s="26"/>
      <c r="N16" s="29"/>
    </row>
    <row r="17" spans="2:18" ht="24.6" customHeight="1" x14ac:dyDescent="0.2">
      <c r="B17" s="64" t="s">
        <v>278</v>
      </c>
      <c r="C17" s="241" t="s">
        <v>279</v>
      </c>
      <c r="D17" s="241"/>
      <c r="E17" s="241"/>
      <c r="F17" s="241"/>
      <c r="G17" s="65" t="s">
        <v>52</v>
      </c>
      <c r="H17" s="65"/>
      <c r="I17" s="65"/>
      <c r="J17" s="65" t="s">
        <v>54</v>
      </c>
      <c r="K17" s="66"/>
      <c r="L17" s="67"/>
      <c r="M17" s="26"/>
      <c r="N17" s="29"/>
      <c r="R17" s="1" t="s">
        <v>9</v>
      </c>
    </row>
    <row r="18" spans="2:18" ht="24.6" customHeight="1" x14ac:dyDescent="0.2">
      <c r="B18" s="73" t="s">
        <v>280</v>
      </c>
      <c r="C18" s="241" t="s">
        <v>281</v>
      </c>
      <c r="D18" s="241"/>
      <c r="E18" s="241"/>
      <c r="F18" s="241"/>
      <c r="G18" s="65" t="s">
        <v>52</v>
      </c>
      <c r="H18" s="65"/>
      <c r="I18" s="65"/>
      <c r="J18" s="65" t="s">
        <v>54</v>
      </c>
      <c r="K18" s="66"/>
      <c r="L18" s="67"/>
      <c r="M18" s="26"/>
      <c r="N18" s="29"/>
    </row>
    <row r="19" spans="2:18" ht="24.6" customHeight="1" x14ac:dyDescent="0.2">
      <c r="B19" s="64" t="s">
        <v>282</v>
      </c>
      <c r="C19" s="241" t="s">
        <v>283</v>
      </c>
      <c r="D19" s="241"/>
      <c r="E19" s="241"/>
      <c r="F19" s="241"/>
      <c r="G19" s="65" t="s">
        <v>52</v>
      </c>
      <c r="H19" s="65"/>
      <c r="I19" s="65"/>
      <c r="J19" s="65" t="s">
        <v>54</v>
      </c>
      <c r="K19" s="66"/>
      <c r="L19" s="67"/>
      <c r="M19" s="26"/>
      <c r="N19" s="29"/>
    </row>
    <row r="20" spans="2:18" ht="24.6" customHeight="1" x14ac:dyDescent="0.2">
      <c r="B20" s="64" t="s">
        <v>284</v>
      </c>
      <c r="C20" s="241" t="s">
        <v>285</v>
      </c>
      <c r="D20" s="241"/>
      <c r="E20" s="241"/>
      <c r="F20" s="241"/>
      <c r="G20" s="65" t="s">
        <v>52</v>
      </c>
      <c r="H20" s="65"/>
      <c r="I20" s="65"/>
      <c r="J20" s="65" t="s">
        <v>54</v>
      </c>
      <c r="K20" s="66"/>
      <c r="L20" s="67"/>
      <c r="M20" s="26"/>
      <c r="N20" s="29"/>
    </row>
    <row r="21" spans="2:18" ht="24.6" customHeight="1" x14ac:dyDescent="0.2">
      <c r="B21" s="64"/>
      <c r="C21" s="241"/>
      <c r="D21" s="241"/>
      <c r="E21" s="241"/>
      <c r="F21" s="241"/>
      <c r="G21" s="65"/>
      <c r="H21" s="65"/>
      <c r="I21" s="65"/>
      <c r="J21" s="65"/>
      <c r="K21" s="66"/>
      <c r="L21" s="67"/>
      <c r="M21" s="26"/>
      <c r="N21" s="29"/>
    </row>
    <row r="22" spans="2:18" ht="24.6" customHeight="1" x14ac:dyDescent="0.2">
      <c r="B22" s="64"/>
      <c r="C22" s="241"/>
      <c r="D22" s="241"/>
      <c r="E22" s="241"/>
      <c r="F22" s="241"/>
      <c r="G22" s="65"/>
      <c r="H22" s="65"/>
      <c r="I22" s="65"/>
      <c r="J22" s="65"/>
      <c r="K22" s="66"/>
      <c r="L22" s="67"/>
      <c r="M22" s="26"/>
      <c r="N22" s="29"/>
    </row>
    <row r="23" spans="2:18" ht="24.6" customHeight="1" x14ac:dyDescent="0.2">
      <c r="B23" s="47"/>
      <c r="C23" s="221"/>
      <c r="D23" s="221"/>
      <c r="E23" s="221"/>
      <c r="F23" s="221"/>
      <c r="M23" s="26"/>
      <c r="N23" s="29"/>
    </row>
    <row r="24" spans="2:18" ht="24.6" customHeight="1" x14ac:dyDescent="0.2">
      <c r="B24" s="48"/>
      <c r="C24" s="221"/>
      <c r="D24" s="221"/>
      <c r="E24" s="221"/>
      <c r="F24" s="221"/>
      <c r="M24" s="26"/>
      <c r="N24" s="29"/>
    </row>
    <row r="25" spans="2:18" ht="24.6" customHeight="1" x14ac:dyDescent="0.2">
      <c r="B25" s="48"/>
      <c r="C25" s="221"/>
      <c r="D25" s="221"/>
      <c r="E25" s="221"/>
      <c r="F25" s="221"/>
      <c r="M25" s="26"/>
      <c r="N25" s="29"/>
    </row>
    <row r="26" spans="2:18" ht="24.6" customHeight="1" x14ac:dyDescent="0.2">
      <c r="B26" s="48"/>
      <c r="C26" s="221"/>
      <c r="D26" s="221"/>
      <c r="E26" s="221"/>
      <c r="F26" s="221"/>
      <c r="M26" s="26"/>
      <c r="N26" s="29"/>
    </row>
    <row r="27" spans="2:18" ht="24.6" customHeight="1" x14ac:dyDescent="0.2">
      <c r="B27" s="48"/>
      <c r="C27" s="221"/>
      <c r="D27" s="221"/>
      <c r="E27" s="221"/>
      <c r="F27" s="221"/>
      <c r="M27" s="26"/>
      <c r="N27" s="29"/>
    </row>
    <row r="28" spans="2:18" ht="24.6" customHeight="1" x14ac:dyDescent="0.2">
      <c r="B28" s="48"/>
      <c r="C28" s="221"/>
      <c r="D28" s="221"/>
      <c r="E28" s="221"/>
      <c r="F28" s="221"/>
      <c r="M28" s="31"/>
      <c r="N28" s="31"/>
    </row>
    <row r="29" spans="2:18" ht="24.6" customHeight="1" x14ac:dyDescent="0.2">
      <c r="B29" s="48"/>
      <c r="C29" s="221"/>
      <c r="D29" s="221"/>
      <c r="E29" s="221"/>
      <c r="F29" s="221"/>
      <c r="M29" s="31"/>
      <c r="N29" s="31"/>
    </row>
    <row r="30" spans="2:18" ht="24.95" customHeight="1" x14ac:dyDescent="0.2">
      <c r="B30" s="48"/>
      <c r="C30" s="221"/>
      <c r="D30" s="221"/>
      <c r="E30" s="221"/>
      <c r="F30" s="221"/>
      <c r="M30" s="31"/>
      <c r="N30" s="31"/>
    </row>
    <row r="31" spans="2:18" ht="24.95" customHeight="1" x14ac:dyDescent="0.2">
      <c r="B31" s="48"/>
      <c r="C31" s="221"/>
      <c r="D31" s="221"/>
      <c r="E31" s="221"/>
      <c r="F31" s="221"/>
    </row>
    <row r="32" spans="2:18" ht="24.95" customHeight="1" x14ac:dyDescent="0.2">
      <c r="B32" s="48"/>
      <c r="C32" s="221"/>
      <c r="D32" s="221"/>
      <c r="E32" s="221"/>
      <c r="F32" s="221"/>
    </row>
    <row r="33" spans="2:6" ht="24.95" customHeight="1" x14ac:dyDescent="0.2">
      <c r="B33" s="48"/>
      <c r="C33" s="221"/>
      <c r="D33" s="221"/>
      <c r="E33" s="221"/>
      <c r="F33" s="221"/>
    </row>
    <row r="34" spans="2:6" ht="24.95" customHeight="1" x14ac:dyDescent="0.2">
      <c r="B34" s="222"/>
      <c r="C34" s="223"/>
      <c r="D34" s="223"/>
      <c r="E34" s="223"/>
      <c r="F34" s="223"/>
    </row>
    <row r="35" spans="2:6" ht="12.95" customHeight="1" x14ac:dyDescent="0.2"/>
    <row r="36" spans="2:6" ht="12.95" customHeight="1" x14ac:dyDescent="0.2"/>
    <row r="37" spans="2:6" ht="12.95" customHeight="1" x14ac:dyDescent="0.2"/>
    <row r="38" spans="2:6" ht="12.95" customHeight="1" x14ac:dyDescent="0.2"/>
    <row r="39" spans="2:6" ht="12.95" customHeight="1" x14ac:dyDescent="0.2"/>
    <row r="40" spans="2:6" ht="12.95" customHeight="1" x14ac:dyDescent="0.2"/>
    <row r="41" spans="2:6" ht="12.95" customHeight="1" x14ac:dyDescent="0.2"/>
    <row r="42" spans="2:6" ht="12.95" customHeight="1" x14ac:dyDescent="0.2"/>
    <row r="43" spans="2:6" ht="12.95" customHeight="1" x14ac:dyDescent="0.2"/>
    <row r="44" spans="2:6" ht="12.95" customHeight="1" x14ac:dyDescent="0.2"/>
    <row r="45" spans="2:6" ht="12.95" customHeight="1" x14ac:dyDescent="0.2"/>
    <row r="46" spans="2:6" ht="12.95" customHeight="1" x14ac:dyDescent="0.2"/>
    <row r="47" spans="2:6" ht="12.95" customHeight="1" x14ac:dyDescent="0.2"/>
  </sheetData>
  <mergeCells count="40">
    <mergeCell ref="C32:F32"/>
    <mergeCell ref="C33:F33"/>
    <mergeCell ref="C24:F24"/>
    <mergeCell ref="C21:F21"/>
    <mergeCell ref="B34:F34"/>
    <mergeCell ref="C25:F25"/>
    <mergeCell ref="C26:F26"/>
    <mergeCell ref="C27:F27"/>
    <mergeCell ref="C28:F28"/>
    <mergeCell ref="C29:F29"/>
    <mergeCell ref="C30:F30"/>
    <mergeCell ref="C22:F22"/>
    <mergeCell ref="C23:F23"/>
    <mergeCell ref="C31:F31"/>
    <mergeCell ref="C20:F20"/>
    <mergeCell ref="C18:F18"/>
    <mergeCell ref="C19:F19"/>
    <mergeCell ref="B6:L6"/>
    <mergeCell ref="B8:C8"/>
    <mergeCell ref="D8:F8"/>
    <mergeCell ref="B9:C9"/>
    <mergeCell ref="D9:F9"/>
    <mergeCell ref="J11:K11"/>
    <mergeCell ref="G11:H11"/>
    <mergeCell ref="C17:F17"/>
    <mergeCell ref="C14:F14"/>
    <mergeCell ref="C15:F15"/>
    <mergeCell ref="C16:F16"/>
    <mergeCell ref="J12:J13"/>
    <mergeCell ref="L12:L13"/>
    <mergeCell ref="B2:D3"/>
    <mergeCell ref="E2:K3"/>
    <mergeCell ref="B4:D4"/>
    <mergeCell ref="E4:K5"/>
    <mergeCell ref="B5:D5"/>
    <mergeCell ref="K12:K13"/>
    <mergeCell ref="B12:F13"/>
    <mergeCell ref="G12:G13"/>
    <mergeCell ref="H12:H13"/>
    <mergeCell ref="I12:I13"/>
  </mergeCells>
  <conditionalFormatting sqref="L15:L22">
    <cfRule type="containsText" dxfId="2" priority="1" operator="containsText" text="Yellow">
      <formula>NOT(ISERROR(SEARCH("Yellow",L15)))</formula>
    </cfRule>
    <cfRule type="cellIs" dxfId="1" priority="2" operator="equal">
      <formula>"Red"</formula>
    </cfRule>
    <cfRule type="containsText" dxfId="0" priority="3" operator="containsText" text="Green">
      <formula>NOT(ISERROR(SEARCH("Green",L15)))</formula>
    </cfRule>
  </conditionalFormatting>
  <dataValidations count="1">
    <dataValidation type="list" allowBlank="1" showInputMessage="1" showErrorMessage="1" sqref="G15:G20 J15:J20" xr:uid="{00000000-0002-0000-09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9B68-057A-4314-80F0-0F3073890532}">
  <sheetPr>
    <pageSetUpPr fitToPage="1"/>
  </sheetPr>
  <dimension ref="B1:R46"/>
  <sheetViews>
    <sheetView showGridLines="0" zoomScale="130" zoomScaleNormal="130" zoomScaleSheetLayoutView="100" workbookViewId="0">
      <selection activeCell="H20" sqref="H20"/>
    </sheetView>
  </sheetViews>
  <sheetFormatPr defaultColWidth="9.140625" defaultRowHeight="12.75" x14ac:dyDescent="0.2"/>
  <cols>
    <col min="1" max="1" width="2.8554687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4"/>
      <c r="C2" s="175"/>
      <c r="D2" s="175"/>
      <c r="E2" s="178" t="s">
        <v>0</v>
      </c>
      <c r="F2" s="179"/>
      <c r="G2" s="179"/>
      <c r="H2" s="179"/>
      <c r="I2" s="179"/>
      <c r="J2" s="179"/>
      <c r="K2" s="179"/>
      <c r="L2" s="2" t="s">
        <v>1</v>
      </c>
    </row>
    <row r="3" spans="2:14" ht="14.25" customHeight="1" x14ac:dyDescent="0.2">
      <c r="B3" s="176"/>
      <c r="C3" s="177"/>
      <c r="D3" s="177"/>
      <c r="E3" s="180"/>
      <c r="F3" s="181"/>
      <c r="G3" s="181"/>
      <c r="H3" s="181"/>
      <c r="I3" s="181"/>
      <c r="J3" s="181"/>
      <c r="K3" s="181"/>
      <c r="L3" s="13" t="str">
        <f>'Work Instruction pg.1'!K3</f>
        <v>18/04/2024</v>
      </c>
    </row>
    <row r="4" spans="2:14" ht="14.25" customHeight="1" x14ac:dyDescent="0.2">
      <c r="B4" s="182" t="s">
        <v>2</v>
      </c>
      <c r="C4" s="183"/>
      <c r="D4" s="184"/>
      <c r="E4" s="185" t="s">
        <v>3</v>
      </c>
      <c r="F4" s="186"/>
      <c r="G4" s="186"/>
      <c r="H4" s="186"/>
      <c r="I4" s="186"/>
      <c r="J4" s="186"/>
      <c r="K4" s="186"/>
      <c r="L4" s="3" t="s">
        <v>4</v>
      </c>
    </row>
    <row r="5" spans="2:14" ht="14.25" customHeight="1" x14ac:dyDescent="0.2">
      <c r="B5" s="235" t="s">
        <v>5</v>
      </c>
      <c r="C5" s="236"/>
      <c r="D5" s="237"/>
      <c r="E5" s="188"/>
      <c r="F5" s="189"/>
      <c r="G5" s="189"/>
      <c r="H5" s="189"/>
      <c r="I5" s="189"/>
      <c r="J5" s="189"/>
      <c r="K5" s="189"/>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tr">
        <f>'Cover CheckSheet pg.2'!D9</f>
        <v>HCB / DEFNE</v>
      </c>
      <c r="E8" s="224"/>
      <c r="F8" s="224"/>
      <c r="H8" s="1" t="s">
        <v>12</v>
      </c>
      <c r="I8" s="100" t="str">
        <f>'Cover CheckSheet pg.2'!K9</f>
        <v>OCCM07NQ6Q  021</v>
      </c>
      <c r="K8" s="1" t="s">
        <v>69</v>
      </c>
      <c r="L8" s="100" t="str">
        <f>'Cover CheckSheet pg.2'!D10</f>
        <v>RSA</v>
      </c>
    </row>
    <row r="9" spans="2:14" ht="24.75" customHeight="1" x14ac:dyDescent="0.2">
      <c r="B9" s="208" t="s">
        <v>15</v>
      </c>
      <c r="C9" s="208"/>
      <c r="D9" s="225" t="str">
        <f>'Cover CheckSheet pg.2'!D11</f>
        <v>YMM</v>
      </c>
      <c r="E9" s="225"/>
      <c r="F9" s="225"/>
      <c r="H9" s="1" t="s">
        <v>70</v>
      </c>
      <c r="I9" s="101">
        <f>IF('Cover CheckSheet pg.2'!K11="","0",'Cover CheckSheet pg.2'!K11)</f>
        <v>46094</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46</v>
      </c>
      <c r="H11" s="227"/>
      <c r="I11" s="61"/>
      <c r="M11" s="26"/>
      <c r="N11" s="29"/>
    </row>
    <row r="12" spans="2:14" ht="27" customHeight="1" x14ac:dyDescent="0.2">
      <c r="B12" s="277" t="s">
        <v>286</v>
      </c>
      <c r="C12" s="277"/>
      <c r="D12" s="277"/>
      <c r="E12" s="277"/>
      <c r="F12" s="277"/>
      <c r="G12" s="247" t="s">
        <v>71</v>
      </c>
      <c r="H12" s="247" t="s">
        <v>72</v>
      </c>
      <c r="I12" s="247" t="s">
        <v>73</v>
      </c>
      <c r="M12" s="26"/>
      <c r="N12" s="29"/>
    </row>
    <row r="13" spans="2:14" ht="42" customHeight="1" x14ac:dyDescent="0.2">
      <c r="B13" s="278"/>
      <c r="C13" s="278"/>
      <c r="D13" s="278"/>
      <c r="E13" s="278"/>
      <c r="F13" s="278"/>
      <c r="G13" s="248"/>
      <c r="H13" s="248"/>
      <c r="I13" s="248"/>
      <c r="M13" s="26"/>
      <c r="N13" s="29"/>
    </row>
    <row r="14" spans="2:14" ht="24.6" customHeight="1" x14ac:dyDescent="0.2">
      <c r="B14" s="63" t="s">
        <v>287</v>
      </c>
      <c r="C14" s="269" t="s">
        <v>288</v>
      </c>
      <c r="D14" s="269"/>
      <c r="E14" s="269"/>
      <c r="F14" s="269"/>
      <c r="G14" s="273"/>
      <c r="H14" s="274"/>
      <c r="I14" s="275"/>
      <c r="M14" s="26"/>
      <c r="N14" s="29"/>
    </row>
    <row r="15" spans="2:14" ht="24.6" customHeight="1" x14ac:dyDescent="0.2">
      <c r="B15" s="73" t="s">
        <v>289</v>
      </c>
      <c r="C15" s="276" t="s">
        <v>290</v>
      </c>
      <c r="D15" s="276"/>
      <c r="E15" s="276"/>
      <c r="F15" s="276"/>
      <c r="G15" s="65" t="s">
        <v>52</v>
      </c>
      <c r="H15" s="65"/>
      <c r="I15" s="65"/>
      <c r="M15" s="26"/>
      <c r="N15" s="29"/>
    </row>
    <row r="16" spans="2:14" ht="24.6" customHeight="1" x14ac:dyDescent="0.2">
      <c r="B16" s="64" t="s">
        <v>291</v>
      </c>
      <c r="C16" s="241" t="s">
        <v>292</v>
      </c>
      <c r="D16" s="241"/>
      <c r="E16" s="241"/>
      <c r="F16" s="241"/>
      <c r="G16" s="65" t="s">
        <v>54</v>
      </c>
      <c r="H16" s="65"/>
      <c r="I16" s="65"/>
      <c r="M16" s="26"/>
      <c r="N16" s="29"/>
    </row>
    <row r="17" spans="2:18" ht="24.6" customHeight="1" x14ac:dyDescent="0.2">
      <c r="B17" s="73" t="s">
        <v>293</v>
      </c>
      <c r="C17" s="241" t="s">
        <v>294</v>
      </c>
      <c r="D17" s="241"/>
      <c r="E17" s="241"/>
      <c r="F17" s="241"/>
      <c r="G17" s="65" t="s">
        <v>52</v>
      </c>
      <c r="H17" s="65"/>
      <c r="I17" s="65"/>
      <c r="M17" s="26"/>
      <c r="N17" s="29"/>
      <c r="R17" s="1" t="s">
        <v>9</v>
      </c>
    </row>
    <row r="18" spans="2:18" ht="24.6" customHeight="1" x14ac:dyDescent="0.2">
      <c r="B18" s="64" t="s">
        <v>295</v>
      </c>
      <c r="C18" s="241" t="s">
        <v>296</v>
      </c>
      <c r="D18" s="241"/>
      <c r="E18" s="241"/>
      <c r="F18" s="241"/>
      <c r="G18" s="65" t="s">
        <v>52</v>
      </c>
      <c r="H18" s="69"/>
      <c r="I18" s="69"/>
      <c r="M18" s="26"/>
      <c r="N18" s="29"/>
    </row>
    <row r="19" spans="2:18" ht="24.6" customHeight="1" x14ac:dyDescent="0.2">
      <c r="B19" s="73" t="s">
        <v>297</v>
      </c>
      <c r="C19" s="241" t="s">
        <v>298</v>
      </c>
      <c r="D19" s="241"/>
      <c r="E19" s="241"/>
      <c r="F19" s="241"/>
      <c r="G19" s="65" t="s">
        <v>52</v>
      </c>
      <c r="H19" s="65"/>
      <c r="I19" s="65"/>
      <c r="M19" s="26"/>
      <c r="N19" s="29"/>
    </row>
    <row r="20" spans="2:18" ht="24.6" customHeight="1" x14ac:dyDescent="0.2">
      <c r="B20" s="64" t="s">
        <v>299</v>
      </c>
      <c r="C20" s="241" t="s">
        <v>300</v>
      </c>
      <c r="D20" s="241"/>
      <c r="E20" s="241"/>
      <c r="F20" s="241"/>
      <c r="G20" s="65" t="s">
        <v>64</v>
      </c>
      <c r="H20" s="65"/>
      <c r="I20" s="65"/>
      <c r="M20" s="26"/>
      <c r="N20" s="29"/>
    </row>
    <row r="21" spans="2:18" ht="24.6" customHeight="1" x14ac:dyDescent="0.2">
      <c r="B21" s="73" t="s">
        <v>301</v>
      </c>
      <c r="C21" s="241" t="s">
        <v>302</v>
      </c>
      <c r="D21" s="241"/>
      <c r="E21" s="241"/>
      <c r="F21" s="241"/>
      <c r="G21" s="65" t="s">
        <v>64</v>
      </c>
      <c r="H21" s="65"/>
      <c r="I21" s="65"/>
      <c r="M21" s="26"/>
      <c r="N21" s="29"/>
    </row>
    <row r="22" spans="2:18" ht="24.6" customHeight="1" x14ac:dyDescent="0.2">
      <c r="B22" s="64" t="s">
        <v>303</v>
      </c>
      <c r="C22" s="241" t="s">
        <v>304</v>
      </c>
      <c r="D22" s="241"/>
      <c r="E22" s="241"/>
      <c r="F22" s="241"/>
      <c r="G22" s="65" t="s">
        <v>64</v>
      </c>
      <c r="H22" s="65"/>
      <c r="I22" s="65"/>
      <c r="M22" s="26"/>
      <c r="N22" s="29"/>
    </row>
    <row r="23" spans="2:18" ht="24.6" customHeight="1" x14ac:dyDescent="0.2">
      <c r="B23" s="73" t="s">
        <v>305</v>
      </c>
      <c r="C23" s="241" t="s">
        <v>306</v>
      </c>
      <c r="D23" s="241"/>
      <c r="E23" s="241"/>
      <c r="F23" s="241"/>
      <c r="G23" s="65" t="s">
        <v>64</v>
      </c>
      <c r="H23" s="65"/>
      <c r="I23" s="65"/>
      <c r="M23" s="26"/>
      <c r="N23" s="29"/>
    </row>
    <row r="24" spans="2:18" ht="24.6" customHeight="1" x14ac:dyDescent="0.2">
      <c r="B24" s="64" t="s">
        <v>307</v>
      </c>
      <c r="C24" s="241" t="s">
        <v>308</v>
      </c>
      <c r="D24" s="241"/>
      <c r="E24" s="241"/>
      <c r="F24" s="241"/>
      <c r="G24" s="65" t="s">
        <v>64</v>
      </c>
      <c r="H24" s="65"/>
      <c r="I24" s="65"/>
      <c r="M24" s="26"/>
      <c r="N24" s="29"/>
    </row>
    <row r="25" spans="2:18" ht="24.6" customHeight="1" x14ac:dyDescent="0.2">
      <c r="B25" s="73" t="s">
        <v>309</v>
      </c>
      <c r="C25" s="241" t="s">
        <v>310</v>
      </c>
      <c r="D25" s="241"/>
      <c r="E25" s="241"/>
      <c r="F25" s="241"/>
      <c r="G25" s="65" t="s">
        <v>64</v>
      </c>
      <c r="H25" s="65"/>
      <c r="I25" s="65"/>
      <c r="M25" s="26"/>
      <c r="N25" s="29"/>
    </row>
    <row r="26" spans="2:18" ht="24.6" customHeight="1" x14ac:dyDescent="0.2">
      <c r="B26" s="64" t="s">
        <v>311</v>
      </c>
      <c r="C26" s="241" t="s">
        <v>312</v>
      </c>
      <c r="D26" s="241"/>
      <c r="E26" s="241"/>
      <c r="F26" s="241"/>
      <c r="G26" s="65" t="s">
        <v>64</v>
      </c>
      <c r="H26" s="65"/>
      <c r="I26" s="65"/>
      <c r="M26" s="26"/>
      <c r="N26" s="29"/>
    </row>
    <row r="27" spans="2:18" ht="24.6" customHeight="1" x14ac:dyDescent="0.2">
      <c r="B27" s="73" t="s">
        <v>313</v>
      </c>
      <c r="C27" s="241" t="s">
        <v>314</v>
      </c>
      <c r="D27" s="241"/>
      <c r="E27" s="241"/>
      <c r="F27" s="241"/>
      <c r="G27" s="65" t="s">
        <v>52</v>
      </c>
      <c r="H27" s="65"/>
      <c r="I27" s="65"/>
      <c r="M27" s="26"/>
      <c r="N27" s="29"/>
    </row>
    <row r="28" spans="2:18" ht="24.6" customHeight="1" x14ac:dyDescent="0.2">
      <c r="B28" s="64" t="s">
        <v>315</v>
      </c>
      <c r="C28" s="241" t="s">
        <v>316</v>
      </c>
      <c r="D28" s="241"/>
      <c r="E28" s="241"/>
      <c r="F28" s="241"/>
      <c r="G28" s="65" t="s">
        <v>52</v>
      </c>
      <c r="H28" s="65"/>
      <c r="I28" s="65"/>
      <c r="M28" s="26"/>
      <c r="N28" s="29"/>
    </row>
    <row r="29" spans="2:18" ht="24.6" customHeight="1" x14ac:dyDescent="0.2">
      <c r="B29" s="73" t="s">
        <v>317</v>
      </c>
      <c r="C29" s="241" t="s">
        <v>318</v>
      </c>
      <c r="D29" s="241"/>
      <c r="E29" s="241"/>
      <c r="F29" s="241"/>
      <c r="G29" s="65" t="s">
        <v>52</v>
      </c>
      <c r="H29" s="65"/>
      <c r="I29" s="65"/>
      <c r="M29" s="26"/>
      <c r="N29" s="29"/>
    </row>
    <row r="30" spans="2:18" ht="24.6" customHeight="1" x14ac:dyDescent="0.2">
      <c r="B30" s="64" t="s">
        <v>319</v>
      </c>
      <c r="C30" s="241" t="s">
        <v>320</v>
      </c>
      <c r="D30" s="241"/>
      <c r="E30" s="241"/>
      <c r="F30" s="241"/>
      <c r="G30" s="65" t="s">
        <v>64</v>
      </c>
      <c r="H30" s="65"/>
      <c r="I30" s="65"/>
      <c r="M30" s="26"/>
      <c r="N30" s="29"/>
    </row>
    <row r="31" spans="2:18" ht="24.6" customHeight="1" x14ac:dyDescent="0.2">
      <c r="B31" s="73" t="s">
        <v>321</v>
      </c>
      <c r="C31" s="241" t="s">
        <v>322</v>
      </c>
      <c r="D31" s="241"/>
      <c r="E31" s="241"/>
      <c r="F31" s="241"/>
      <c r="G31" s="65" t="s">
        <v>64</v>
      </c>
      <c r="H31" s="65"/>
      <c r="I31" s="65"/>
      <c r="M31" s="26"/>
      <c r="N31" s="29"/>
    </row>
    <row r="32" spans="2:18" ht="24.6" customHeight="1" x14ac:dyDescent="0.2">
      <c r="B32" s="64" t="s">
        <v>323</v>
      </c>
      <c r="C32" s="241" t="s">
        <v>324</v>
      </c>
      <c r="D32" s="241"/>
      <c r="E32" s="241"/>
      <c r="F32" s="241"/>
      <c r="G32" s="65" t="s">
        <v>64</v>
      </c>
      <c r="H32" s="65"/>
      <c r="I32" s="65"/>
      <c r="M32" s="26"/>
      <c r="N32" s="29"/>
    </row>
    <row r="33" spans="2:14" ht="24.6" customHeight="1" x14ac:dyDescent="0.2">
      <c r="B33" s="73" t="s">
        <v>325</v>
      </c>
      <c r="C33" s="241" t="s">
        <v>326</v>
      </c>
      <c r="D33" s="241"/>
      <c r="E33" s="241"/>
      <c r="F33" s="241"/>
      <c r="G33" s="65" t="s">
        <v>64</v>
      </c>
      <c r="H33" s="65"/>
      <c r="I33" s="65"/>
      <c r="M33" s="26"/>
      <c r="N33" s="29"/>
    </row>
    <row r="34" spans="2:14" ht="24.6" customHeight="1" x14ac:dyDescent="0.2">
      <c r="B34" s="64" t="s">
        <v>327</v>
      </c>
      <c r="C34" s="241" t="s">
        <v>328</v>
      </c>
      <c r="D34" s="241"/>
      <c r="E34" s="241"/>
      <c r="F34" s="241"/>
      <c r="G34" s="65" t="s">
        <v>64</v>
      </c>
      <c r="H34" s="65"/>
      <c r="I34" s="65"/>
      <c r="M34" s="26"/>
      <c r="N34" s="29"/>
    </row>
    <row r="35" spans="2:14" ht="54" customHeight="1" x14ac:dyDescent="0.2">
      <c r="B35" s="73" t="s">
        <v>329</v>
      </c>
      <c r="C35" s="241" t="s">
        <v>330</v>
      </c>
      <c r="D35" s="241"/>
      <c r="E35" s="241"/>
      <c r="F35" s="241"/>
      <c r="G35" s="65" t="s">
        <v>64</v>
      </c>
      <c r="H35" s="65"/>
      <c r="I35" s="65"/>
      <c r="M35" s="26"/>
      <c r="N35" s="29"/>
    </row>
    <row r="36" spans="2:14" ht="24.6" customHeight="1" x14ac:dyDescent="0.2">
      <c r="B36" s="73"/>
      <c r="C36" s="241"/>
      <c r="D36" s="241"/>
      <c r="E36" s="241"/>
      <c r="F36" s="241"/>
      <c r="G36" s="65"/>
      <c r="H36" s="65"/>
      <c r="I36" s="65"/>
      <c r="M36" s="26"/>
      <c r="N36" s="29"/>
    </row>
    <row r="37" spans="2:14" ht="24.6" customHeight="1" x14ac:dyDescent="0.2">
      <c r="B37" s="73"/>
      <c r="C37" s="241"/>
      <c r="D37" s="241"/>
      <c r="E37" s="241"/>
      <c r="F37" s="241"/>
      <c r="G37" s="65"/>
      <c r="H37" s="65"/>
      <c r="I37" s="65"/>
      <c r="M37" s="26"/>
      <c r="N37" s="29"/>
    </row>
    <row r="38" spans="2:14" ht="12.95" customHeight="1" x14ac:dyDescent="0.2"/>
    <row r="39" spans="2:14" ht="12.95" customHeight="1" x14ac:dyDescent="0.2"/>
    <row r="40" spans="2:14" ht="12.95" customHeight="1" x14ac:dyDescent="0.2"/>
    <row r="41" spans="2:14" ht="12.95" customHeight="1" x14ac:dyDescent="0.2"/>
    <row r="42" spans="2:14" ht="12.95" customHeight="1" x14ac:dyDescent="0.2"/>
    <row r="43" spans="2:14" ht="12.95" customHeight="1" x14ac:dyDescent="0.2"/>
    <row r="44" spans="2:14" ht="12.95" customHeight="1" x14ac:dyDescent="0.2"/>
    <row r="45" spans="2:14" ht="12.95" customHeight="1" x14ac:dyDescent="0.2"/>
    <row r="46" spans="2:14" ht="12.95" customHeight="1" x14ac:dyDescent="0.2"/>
  </sheetData>
  <mergeCells count="40">
    <mergeCell ref="C36:F36"/>
    <mergeCell ref="C37:F37"/>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G14:I14"/>
    <mergeCell ref="C14:F14"/>
    <mergeCell ref="C15:F15"/>
    <mergeCell ref="C16:F16"/>
    <mergeCell ref="C28:F28"/>
    <mergeCell ref="C18:F18"/>
    <mergeCell ref="C19:F19"/>
    <mergeCell ref="C20:F20"/>
    <mergeCell ref="C21:F21"/>
    <mergeCell ref="C22:F22"/>
    <mergeCell ref="C23:F23"/>
    <mergeCell ref="C24:F24"/>
    <mergeCell ref="C25:F25"/>
    <mergeCell ref="C26:F26"/>
    <mergeCell ref="C27:F27"/>
    <mergeCell ref="C35:F35"/>
    <mergeCell ref="C29:F29"/>
    <mergeCell ref="C30:F30"/>
    <mergeCell ref="C31:F31"/>
    <mergeCell ref="C32:F32"/>
    <mergeCell ref="C33:F33"/>
    <mergeCell ref="C34:F34"/>
  </mergeCells>
  <dataValidations count="1">
    <dataValidation type="list" allowBlank="1" showInputMessage="1" showErrorMessage="1" sqref="G15:G35" xr:uid="{00000000-0002-0000-0A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CF53-AC47-4B80-97DD-520616F4DD67}">
  <sheetPr>
    <pageSetUpPr fitToPage="1"/>
  </sheetPr>
  <dimension ref="B1:S53"/>
  <sheetViews>
    <sheetView showGridLines="0" topLeftCell="A23" zoomScaleSheetLayoutView="100" zoomScalePageLayoutView="66" workbookViewId="0">
      <selection activeCell="L36" sqref="L36"/>
    </sheetView>
  </sheetViews>
  <sheetFormatPr defaultColWidth="9.140625" defaultRowHeight="12.75" x14ac:dyDescent="0.2"/>
  <cols>
    <col min="1" max="1" width="4.140625" style="1" customWidth="1"/>
    <col min="2" max="2" width="5.5703125" style="1" customWidth="1"/>
    <col min="3" max="3" width="14.42578125" style="1" customWidth="1"/>
    <col min="4" max="4" width="11.5703125" style="1" customWidth="1"/>
    <col min="5" max="5" width="12.85546875" style="1" customWidth="1"/>
    <col min="6" max="6" width="4.85546875" style="1" customWidth="1"/>
    <col min="7" max="7" width="8.5703125" style="1" customWidth="1"/>
    <col min="8" max="9" width="11.42578125" style="1" customWidth="1"/>
    <col min="10" max="10" width="7.5703125" style="1" customWidth="1"/>
    <col min="11" max="11" width="19.85546875" style="1" customWidth="1"/>
    <col min="12" max="15" width="5.5703125" style="1" customWidth="1"/>
    <col min="16" max="16384" width="9.140625" style="1"/>
  </cols>
  <sheetData>
    <row r="1" spans="2:18" ht="13.5" thickBot="1" x14ac:dyDescent="0.25"/>
    <row r="2" spans="2:18" ht="14.25" customHeight="1" thickTop="1" x14ac:dyDescent="0.25">
      <c r="B2" s="174"/>
      <c r="C2" s="175"/>
      <c r="D2" s="175"/>
      <c r="E2" s="178" t="s">
        <v>0</v>
      </c>
      <c r="F2" s="179"/>
      <c r="G2" s="179"/>
      <c r="H2" s="179"/>
      <c r="I2" s="179"/>
      <c r="J2" s="179"/>
      <c r="K2" s="2" t="s">
        <v>1</v>
      </c>
    </row>
    <row r="3" spans="2:18" ht="14.25" customHeight="1" x14ac:dyDescent="0.2">
      <c r="B3" s="176"/>
      <c r="C3" s="177"/>
      <c r="D3" s="177"/>
      <c r="E3" s="180"/>
      <c r="F3" s="181"/>
      <c r="G3" s="181"/>
      <c r="H3" s="181"/>
      <c r="I3" s="181"/>
      <c r="J3" s="181"/>
      <c r="K3" s="111" t="str">
        <f>'Work Instruction pg.1'!K3</f>
        <v>18/04/2024</v>
      </c>
    </row>
    <row r="4" spans="2:18" ht="14.25" customHeight="1" x14ac:dyDescent="0.25">
      <c r="B4" s="182" t="s">
        <v>2</v>
      </c>
      <c r="C4" s="183"/>
      <c r="D4" s="184"/>
      <c r="E4" s="185" t="s">
        <v>3</v>
      </c>
      <c r="F4" s="186"/>
      <c r="G4" s="186"/>
      <c r="H4" s="186"/>
      <c r="I4" s="186"/>
      <c r="J4" s="187"/>
      <c r="K4" s="3" t="s">
        <v>4</v>
      </c>
      <c r="M4" s="4"/>
    </row>
    <row r="5" spans="2:18" ht="14.25" customHeight="1" x14ac:dyDescent="0.2">
      <c r="B5" s="182" t="s">
        <v>5</v>
      </c>
      <c r="C5" s="183"/>
      <c r="D5" s="184"/>
      <c r="E5" s="188"/>
      <c r="F5" s="189"/>
      <c r="G5" s="189"/>
      <c r="H5" s="189"/>
      <c r="I5" s="189"/>
      <c r="J5" s="190"/>
      <c r="K5" s="5" t="str">
        <f>'Work Instruction pg.1'!K5</f>
        <v>7.0</v>
      </c>
    </row>
    <row r="6" spans="2:18" ht="26.25" customHeight="1" thickBot="1" x14ac:dyDescent="0.25">
      <c r="B6" s="191" t="s">
        <v>7</v>
      </c>
      <c r="C6" s="192"/>
      <c r="D6" s="192"/>
      <c r="E6" s="192"/>
      <c r="F6" s="192"/>
      <c r="G6" s="192"/>
      <c r="H6" s="192"/>
      <c r="I6" s="192"/>
      <c r="J6" s="192"/>
      <c r="K6" s="193"/>
    </row>
    <row r="7" spans="2:18" ht="17.25" customHeight="1" thickTop="1" x14ac:dyDescent="0.2">
      <c r="B7" s="14"/>
      <c r="C7" s="14"/>
      <c r="D7" s="14"/>
      <c r="E7" s="15"/>
      <c r="F7" s="15"/>
      <c r="G7" s="15"/>
      <c r="H7" s="15"/>
      <c r="I7" s="15"/>
      <c r="J7" s="16"/>
      <c r="K7" s="16"/>
      <c r="L7" s="16"/>
    </row>
    <row r="8" spans="2:18" ht="16.5" customHeight="1" x14ac:dyDescent="0.25">
      <c r="B8" s="207" t="s">
        <v>10</v>
      </c>
      <c r="C8" s="207"/>
      <c r="D8" s="207"/>
      <c r="E8" s="207"/>
      <c r="F8" s="207"/>
      <c r="G8" s="207"/>
      <c r="H8" s="207"/>
      <c r="I8" s="207"/>
      <c r="J8" s="207"/>
      <c r="K8" s="207"/>
      <c r="L8" s="17"/>
      <c r="M8" s="17"/>
    </row>
    <row r="9" spans="2:18" ht="24.75" customHeight="1" x14ac:dyDescent="0.2">
      <c r="B9" s="208" t="s">
        <v>11</v>
      </c>
      <c r="C9" s="209"/>
      <c r="D9" s="224" t="s">
        <v>331</v>
      </c>
      <c r="E9" s="224"/>
      <c r="F9" s="224"/>
      <c r="H9" s="279" t="s">
        <v>12</v>
      </c>
      <c r="I9" s="279"/>
      <c r="J9" s="279"/>
      <c r="K9" s="100" t="s">
        <v>332</v>
      </c>
      <c r="R9" s="19"/>
    </row>
    <row r="10" spans="2:18" ht="24.75" customHeight="1" x14ac:dyDescent="0.2">
      <c r="B10" s="208" t="s">
        <v>13</v>
      </c>
      <c r="C10" s="208"/>
      <c r="D10" s="225" t="s">
        <v>333</v>
      </c>
      <c r="E10" s="225"/>
      <c r="F10" s="225"/>
      <c r="H10" s="20" t="s">
        <v>14</v>
      </c>
      <c r="I10" s="20"/>
      <c r="J10" s="20"/>
      <c r="K10" s="100" t="s">
        <v>334</v>
      </c>
      <c r="R10" s="19"/>
    </row>
    <row r="11" spans="2:18" ht="24.75" customHeight="1" x14ac:dyDescent="0.2">
      <c r="B11" s="74" t="s">
        <v>15</v>
      </c>
      <c r="C11" s="74"/>
      <c r="D11" s="225" t="s">
        <v>335</v>
      </c>
      <c r="E11" s="225"/>
      <c r="F11" s="225"/>
      <c r="H11" s="20" t="s">
        <v>16</v>
      </c>
      <c r="I11" s="20"/>
      <c r="J11" s="20"/>
      <c r="K11" s="101">
        <v>42398</v>
      </c>
      <c r="R11" s="19"/>
    </row>
    <row r="12" spans="2:18" ht="24.75" customHeight="1" x14ac:dyDescent="0.2">
      <c r="B12" s="21"/>
      <c r="C12" s="22"/>
      <c r="D12" s="23"/>
      <c r="E12" s="23"/>
      <c r="F12" s="23"/>
      <c r="H12" s="22"/>
      <c r="I12" s="22"/>
      <c r="J12" s="22"/>
    </row>
    <row r="13" spans="2:18" ht="27" customHeight="1" x14ac:dyDescent="0.25">
      <c r="B13" s="75" t="s">
        <v>17</v>
      </c>
      <c r="C13" s="43"/>
      <c r="D13" s="24"/>
      <c r="E13" s="24"/>
      <c r="F13" s="24"/>
      <c r="G13" s="24"/>
      <c r="H13" s="24"/>
      <c r="I13" s="24"/>
      <c r="J13" s="24"/>
      <c r="K13" s="25"/>
      <c r="L13" s="16"/>
      <c r="M13" s="16"/>
      <c r="N13" s="26"/>
      <c r="O13" s="27"/>
    </row>
    <row r="14" spans="2:18" ht="42.6" customHeight="1" x14ac:dyDescent="0.2">
      <c r="B14" s="28"/>
      <c r="C14" s="197" t="s">
        <v>336</v>
      </c>
      <c r="D14" s="200"/>
      <c r="E14" s="195" t="s">
        <v>19</v>
      </c>
      <c r="F14" s="280"/>
      <c r="G14" s="197" t="s">
        <v>20</v>
      </c>
      <c r="H14" s="200"/>
      <c r="I14" s="197" t="s">
        <v>21</v>
      </c>
      <c r="J14" s="199"/>
      <c r="K14" s="200"/>
      <c r="L14" s="16"/>
      <c r="M14" s="16"/>
      <c r="N14" s="26"/>
      <c r="O14" s="29"/>
    </row>
    <row r="15" spans="2:18" ht="24.6" customHeight="1" x14ac:dyDescent="0.2">
      <c r="B15" s="30" t="s">
        <v>22</v>
      </c>
      <c r="C15" s="204" t="s">
        <v>337</v>
      </c>
      <c r="D15" s="213"/>
      <c r="E15" s="204" t="s">
        <v>338</v>
      </c>
      <c r="F15" s="213"/>
      <c r="G15" s="204" t="s">
        <v>338</v>
      </c>
      <c r="H15" s="213"/>
      <c r="I15" s="204" t="s">
        <v>339</v>
      </c>
      <c r="J15" s="205"/>
      <c r="K15" s="206"/>
      <c r="L15" s="31"/>
      <c r="M15" s="31"/>
      <c r="N15" s="31"/>
      <c r="O15" s="29"/>
    </row>
    <row r="16" spans="2:18" ht="24.6" customHeight="1" x14ac:dyDescent="0.2">
      <c r="B16" s="30" t="s">
        <v>23</v>
      </c>
      <c r="C16" s="204" t="s">
        <v>340</v>
      </c>
      <c r="D16" s="213"/>
      <c r="E16" s="282" t="s">
        <v>341</v>
      </c>
      <c r="F16" s="283"/>
      <c r="G16" s="204" t="s">
        <v>342</v>
      </c>
      <c r="H16" s="213"/>
      <c r="I16" s="204" t="s">
        <v>339</v>
      </c>
      <c r="J16" s="214"/>
      <c r="K16" s="213"/>
      <c r="L16" s="31"/>
      <c r="M16" s="31"/>
      <c r="N16" s="31"/>
      <c r="O16" s="29"/>
    </row>
    <row r="17" spans="2:19" ht="24.6" customHeight="1" x14ac:dyDescent="0.2">
      <c r="B17" s="30" t="s">
        <v>24</v>
      </c>
      <c r="C17" s="204"/>
      <c r="D17" s="213"/>
      <c r="E17" s="76"/>
      <c r="F17" s="77"/>
      <c r="G17" s="76"/>
      <c r="H17" s="77"/>
      <c r="I17" s="204"/>
      <c r="J17" s="214"/>
      <c r="K17" s="213"/>
      <c r="L17" s="31"/>
      <c r="M17" s="31"/>
      <c r="N17" s="31"/>
      <c r="O17" s="29"/>
    </row>
    <row r="18" spans="2:19" ht="24.6" customHeight="1" x14ac:dyDescent="0.2">
      <c r="B18" s="30" t="s">
        <v>25</v>
      </c>
      <c r="C18" s="204"/>
      <c r="D18" s="213"/>
      <c r="E18" s="76"/>
      <c r="F18" s="77"/>
      <c r="G18" s="76"/>
      <c r="H18" s="77"/>
      <c r="I18" s="204"/>
      <c r="J18" s="214"/>
      <c r="K18" s="213"/>
      <c r="L18" s="31"/>
      <c r="M18" s="31"/>
      <c r="N18" s="31"/>
      <c r="O18" s="29"/>
    </row>
    <row r="19" spans="2:19" ht="24.6" customHeight="1" x14ac:dyDescent="0.2">
      <c r="B19" s="30" t="s">
        <v>26</v>
      </c>
      <c r="C19" s="204"/>
      <c r="D19" s="213"/>
      <c r="E19" s="76"/>
      <c r="F19" s="77"/>
      <c r="G19" s="76"/>
      <c r="H19" s="77"/>
      <c r="I19" s="204"/>
      <c r="J19" s="214"/>
      <c r="K19" s="213"/>
      <c r="L19" s="31"/>
      <c r="M19" s="31"/>
      <c r="N19" s="31"/>
      <c r="O19" s="29"/>
    </row>
    <row r="20" spans="2:19" ht="24.6" customHeight="1" x14ac:dyDescent="0.2">
      <c r="B20" s="30" t="s">
        <v>27</v>
      </c>
      <c r="C20" s="204"/>
      <c r="D20" s="213"/>
      <c r="E20" s="76"/>
      <c r="F20" s="77"/>
      <c r="G20" s="76"/>
      <c r="H20" s="77"/>
      <c r="I20" s="204"/>
      <c r="J20" s="214"/>
      <c r="K20" s="213"/>
      <c r="L20" s="31"/>
      <c r="M20" s="31"/>
      <c r="N20" s="31"/>
      <c r="O20" s="29"/>
      <c r="S20" s="1" t="s">
        <v>9</v>
      </c>
    </row>
    <row r="21" spans="2:19" ht="24.6" customHeight="1" x14ac:dyDescent="0.2">
      <c r="B21" s="30" t="s">
        <v>28</v>
      </c>
      <c r="C21" s="204"/>
      <c r="D21" s="213"/>
      <c r="E21" s="76"/>
      <c r="F21" s="77"/>
      <c r="G21" s="76"/>
      <c r="H21" s="77"/>
      <c r="I21" s="204"/>
      <c r="J21" s="214"/>
      <c r="K21" s="213"/>
      <c r="L21" s="31"/>
      <c r="M21" s="31"/>
      <c r="N21" s="31"/>
      <c r="O21" s="29"/>
    </row>
    <row r="22" spans="2:19" ht="24.6" customHeight="1" x14ac:dyDescent="0.2">
      <c r="B22" s="30" t="s">
        <v>29</v>
      </c>
      <c r="C22" s="204"/>
      <c r="D22" s="213"/>
      <c r="E22" s="76"/>
      <c r="F22" s="77"/>
      <c r="G22" s="76"/>
      <c r="H22" s="77"/>
      <c r="I22" s="204"/>
      <c r="J22" s="214"/>
      <c r="K22" s="213"/>
      <c r="L22" s="31"/>
      <c r="M22" s="31"/>
      <c r="N22" s="31"/>
      <c r="O22" s="29"/>
    </row>
    <row r="23" spans="2:19" ht="24.6" customHeight="1" x14ac:dyDescent="0.2">
      <c r="B23" s="30" t="s">
        <v>30</v>
      </c>
      <c r="C23" s="204"/>
      <c r="D23" s="213"/>
      <c r="E23" s="76"/>
      <c r="F23" s="77"/>
      <c r="G23" s="76"/>
      <c r="H23" s="77"/>
      <c r="I23" s="204"/>
      <c r="J23" s="214"/>
      <c r="K23" s="213"/>
      <c r="L23" s="31"/>
      <c r="M23" s="31"/>
      <c r="N23" s="31"/>
      <c r="O23" s="31"/>
    </row>
    <row r="24" spans="2:19" ht="24.6" customHeight="1" x14ac:dyDescent="0.2">
      <c r="B24" s="30" t="s">
        <v>31</v>
      </c>
      <c r="C24" s="204"/>
      <c r="D24" s="213"/>
      <c r="E24" s="76"/>
      <c r="F24" s="77"/>
      <c r="G24" s="76"/>
      <c r="H24" s="77"/>
      <c r="I24" s="204"/>
      <c r="J24" s="214"/>
      <c r="K24" s="213"/>
      <c r="L24" s="31"/>
      <c r="M24" s="31"/>
      <c r="N24" s="31"/>
      <c r="O24" s="31"/>
    </row>
    <row r="25" spans="2:19" ht="24.6" customHeight="1" x14ac:dyDescent="0.2">
      <c r="B25" s="30" t="s">
        <v>32</v>
      </c>
      <c r="C25" s="204"/>
      <c r="D25" s="213"/>
      <c r="E25" s="76"/>
      <c r="F25" s="77"/>
      <c r="G25" s="76"/>
      <c r="H25" s="77"/>
      <c r="I25" s="204"/>
      <c r="J25" s="214"/>
      <c r="K25" s="213"/>
      <c r="L25" s="31"/>
      <c r="M25" s="31"/>
      <c r="N25" s="31"/>
      <c r="O25" s="31"/>
    </row>
    <row r="26" spans="2:19" ht="24.6" customHeight="1" x14ac:dyDescent="0.2">
      <c r="B26" s="30" t="s">
        <v>33</v>
      </c>
      <c r="C26" s="204"/>
      <c r="D26" s="213"/>
      <c r="E26" s="76"/>
      <c r="F26" s="77"/>
      <c r="G26" s="76"/>
      <c r="H26" s="77"/>
      <c r="I26" s="204"/>
      <c r="J26" s="214"/>
      <c r="K26" s="213"/>
      <c r="L26" s="31"/>
      <c r="M26" s="31"/>
      <c r="N26" s="31"/>
      <c r="O26" s="31"/>
    </row>
    <row r="27" spans="2:19" ht="24.6" customHeight="1" x14ac:dyDescent="0.2">
      <c r="B27" s="30" t="s">
        <v>34</v>
      </c>
      <c r="C27" s="204"/>
      <c r="D27" s="213"/>
      <c r="E27" s="76"/>
      <c r="F27" s="77"/>
      <c r="G27" s="76"/>
      <c r="H27" s="77"/>
      <c r="I27" s="204"/>
      <c r="J27" s="214"/>
      <c r="K27" s="213"/>
      <c r="L27" s="31"/>
      <c r="M27" s="31"/>
      <c r="N27" s="31"/>
      <c r="O27" s="31"/>
    </row>
    <row r="28" spans="2:19" ht="24.6" customHeight="1" x14ac:dyDescent="0.2">
      <c r="B28" s="30" t="s">
        <v>35</v>
      </c>
      <c r="C28" s="204"/>
      <c r="D28" s="213"/>
      <c r="E28" s="76"/>
      <c r="F28" s="77"/>
      <c r="G28" s="76"/>
      <c r="H28" s="77"/>
      <c r="I28" s="204"/>
      <c r="J28" s="214"/>
      <c r="K28" s="213"/>
      <c r="L28" s="31"/>
      <c r="M28" s="31"/>
      <c r="N28" s="31"/>
      <c r="O28" s="31"/>
    </row>
    <row r="29" spans="2:19" ht="24.6" customHeight="1" x14ac:dyDescent="0.2">
      <c r="B29" s="32"/>
      <c r="C29" s="33"/>
      <c r="D29" s="33"/>
      <c r="E29" s="33"/>
      <c r="F29" s="33"/>
      <c r="G29" s="33"/>
      <c r="H29" s="33"/>
      <c r="I29" s="215"/>
      <c r="J29" s="215"/>
      <c r="K29" s="281"/>
      <c r="L29" s="31"/>
      <c r="M29" s="31"/>
      <c r="N29" s="31"/>
      <c r="O29" s="31"/>
    </row>
    <row r="30" spans="2:19" ht="24.6" customHeight="1" x14ac:dyDescent="0.2">
      <c r="B30" s="34"/>
      <c r="C30" s="35"/>
      <c r="D30" s="16" t="s">
        <v>37</v>
      </c>
      <c r="E30" s="16"/>
      <c r="F30" s="35"/>
      <c r="G30" s="16" t="s">
        <v>38</v>
      </c>
      <c r="H30" s="16"/>
      <c r="I30" s="16"/>
      <c r="J30" s="16"/>
      <c r="K30" s="36"/>
      <c r="L30" s="31"/>
      <c r="M30" s="31"/>
      <c r="N30" s="31"/>
      <c r="O30" s="31"/>
    </row>
    <row r="31" spans="2:19" ht="24.6" customHeight="1" x14ac:dyDescent="0.2">
      <c r="B31" s="78" t="s">
        <v>39</v>
      </c>
      <c r="C31" s="20"/>
      <c r="D31" s="79" t="s">
        <v>343</v>
      </c>
      <c r="E31" s="79"/>
      <c r="F31" s="37"/>
      <c r="G31" s="79" t="s">
        <v>344</v>
      </c>
      <c r="H31" s="79"/>
      <c r="I31" s="79"/>
      <c r="J31" s="79"/>
      <c r="K31" s="36"/>
      <c r="L31" s="26"/>
      <c r="M31" s="26"/>
      <c r="N31" s="26"/>
      <c r="O31" s="31"/>
    </row>
    <row r="32" spans="2:19" ht="24.6" customHeight="1" x14ac:dyDescent="0.2">
      <c r="B32" s="80" t="s">
        <v>40</v>
      </c>
      <c r="C32" s="20"/>
      <c r="D32" s="81" t="s">
        <v>345</v>
      </c>
      <c r="E32" s="81"/>
      <c r="F32" s="37"/>
      <c r="G32" s="81" t="s">
        <v>345</v>
      </c>
      <c r="H32" s="81"/>
      <c r="I32" s="81"/>
      <c r="J32" s="81"/>
      <c r="K32" s="36"/>
      <c r="L32" s="26"/>
      <c r="M32" s="26"/>
      <c r="N32" s="26"/>
      <c r="O32" s="31"/>
    </row>
    <row r="33" spans="2:15" ht="24.6" customHeight="1" x14ac:dyDescent="0.2">
      <c r="B33" s="80" t="s">
        <v>41</v>
      </c>
      <c r="C33" s="20"/>
      <c r="D33" s="82">
        <v>42394</v>
      </c>
      <c r="E33" s="81"/>
      <c r="F33" s="37"/>
      <c r="G33" s="82">
        <v>42395</v>
      </c>
      <c r="H33" s="81"/>
      <c r="I33" s="81"/>
      <c r="J33" s="81"/>
      <c r="K33" s="36"/>
      <c r="L33" s="26"/>
      <c r="M33" s="26"/>
      <c r="N33" s="26"/>
    </row>
    <row r="34" spans="2:15" ht="32.25" customHeight="1" x14ac:dyDescent="0.2">
      <c r="B34" s="80" t="s">
        <v>42</v>
      </c>
      <c r="C34" s="20"/>
      <c r="D34" s="83" t="s">
        <v>343</v>
      </c>
      <c r="E34" s="81"/>
      <c r="F34" s="37"/>
      <c r="G34" s="84" t="s">
        <v>344</v>
      </c>
      <c r="H34" s="81"/>
      <c r="I34" s="81"/>
      <c r="J34" s="81"/>
      <c r="K34" s="36"/>
      <c r="L34" s="26"/>
      <c r="M34" s="26"/>
      <c r="N34" s="26"/>
    </row>
    <row r="35" spans="2:15" ht="24.6" customHeight="1" x14ac:dyDescent="0.2">
      <c r="B35" s="38"/>
      <c r="C35" s="39"/>
      <c r="D35" s="39"/>
      <c r="E35" s="39"/>
      <c r="F35" s="39"/>
      <c r="G35" s="39"/>
      <c r="H35" s="39"/>
      <c r="I35" s="39"/>
      <c r="J35" s="39"/>
      <c r="K35" s="40"/>
      <c r="L35" s="31"/>
      <c r="M35" s="31"/>
      <c r="N35" s="31"/>
      <c r="O35" s="31"/>
    </row>
    <row r="36" spans="2:15" ht="12.95" customHeight="1" x14ac:dyDescent="0.2">
      <c r="B36" s="48"/>
    </row>
    <row r="37" spans="2:15" ht="12.95" customHeight="1" x14ac:dyDescent="0.2">
      <c r="B37" s="48"/>
    </row>
    <row r="38" spans="2:15" ht="12.95" customHeight="1" x14ac:dyDescent="0.2">
      <c r="B38" s="48"/>
    </row>
    <row r="39" spans="2:15" ht="12.95" customHeight="1" x14ac:dyDescent="0.2">
      <c r="B39" s="48"/>
    </row>
    <row r="40" spans="2:15" ht="12.95" customHeight="1" x14ac:dyDescent="0.2">
      <c r="B40" s="48"/>
    </row>
    <row r="41" spans="2:15" ht="12.95" customHeight="1" x14ac:dyDescent="0.2">
      <c r="B41" s="48"/>
      <c r="C41" s="23"/>
      <c r="D41" s="23"/>
      <c r="E41" s="23"/>
      <c r="F41" s="23"/>
    </row>
    <row r="42" spans="2:15" ht="12.95" customHeight="1" x14ac:dyDescent="0.2">
      <c r="B42" s="47"/>
    </row>
    <row r="43" spans="2:15" ht="12.95" customHeight="1" x14ac:dyDescent="0.2">
      <c r="B43" s="48"/>
    </row>
    <row r="44" spans="2:15" ht="12.95" customHeight="1" x14ac:dyDescent="0.2">
      <c r="B44" s="48"/>
    </row>
    <row r="45" spans="2:15" ht="12.95" customHeight="1" x14ac:dyDescent="0.2">
      <c r="B45" s="48"/>
      <c r="C45" s="221"/>
      <c r="D45" s="221"/>
      <c r="E45" s="221"/>
      <c r="F45" s="221"/>
    </row>
    <row r="46" spans="2:15" ht="12.95" customHeight="1" x14ac:dyDescent="0.2">
      <c r="B46" s="48"/>
      <c r="C46" s="221"/>
      <c r="D46" s="221"/>
      <c r="E46" s="221"/>
      <c r="F46" s="221"/>
    </row>
    <row r="47" spans="2:15" ht="12.95" customHeight="1" x14ac:dyDescent="0.2">
      <c r="B47" s="48"/>
      <c r="C47" s="221"/>
      <c r="D47" s="221"/>
      <c r="E47" s="221"/>
      <c r="F47" s="221"/>
    </row>
    <row r="48" spans="2:15" ht="12.95" customHeight="1" x14ac:dyDescent="0.2">
      <c r="B48" s="48"/>
      <c r="C48" s="221"/>
      <c r="D48" s="221"/>
      <c r="E48" s="221"/>
      <c r="F48" s="221"/>
    </row>
    <row r="49" spans="2:6" ht="12.95" customHeight="1" x14ac:dyDescent="0.2">
      <c r="B49" s="48"/>
      <c r="C49" s="221"/>
      <c r="D49" s="221"/>
      <c r="E49" s="221"/>
      <c r="F49" s="221"/>
    </row>
    <row r="50" spans="2:6" ht="12.95" customHeight="1" x14ac:dyDescent="0.2">
      <c r="B50" s="48"/>
      <c r="C50" s="221"/>
      <c r="D50" s="221"/>
      <c r="E50" s="221"/>
      <c r="F50" s="221"/>
    </row>
    <row r="51" spans="2:6" ht="12.95" customHeight="1" x14ac:dyDescent="0.2">
      <c r="B51" s="48"/>
      <c r="C51" s="221"/>
      <c r="D51" s="221"/>
      <c r="E51" s="221"/>
      <c r="F51" s="221"/>
    </row>
    <row r="52" spans="2:6" x14ac:dyDescent="0.2">
      <c r="B52" s="48"/>
      <c r="C52" s="221"/>
      <c r="D52" s="221"/>
      <c r="E52" s="221"/>
      <c r="F52" s="221"/>
    </row>
    <row r="53" spans="2:6" x14ac:dyDescent="0.2">
      <c r="B53" s="222"/>
      <c r="C53" s="223"/>
      <c r="D53" s="223"/>
      <c r="E53" s="223"/>
      <c r="F53" s="223"/>
    </row>
  </sheetData>
  <mergeCells count="59">
    <mergeCell ref="D11:F11"/>
    <mergeCell ref="C52:F52"/>
    <mergeCell ref="B53:F53"/>
    <mergeCell ref="C46:F46"/>
    <mergeCell ref="C47:F47"/>
    <mergeCell ref="C48:F48"/>
    <mergeCell ref="C49:F49"/>
    <mergeCell ref="C50:F50"/>
    <mergeCell ref="C51:F51"/>
    <mergeCell ref="C45:F45"/>
    <mergeCell ref="C24:D24"/>
    <mergeCell ref="C27:D27"/>
    <mergeCell ref="C18:D18"/>
    <mergeCell ref="C16:D16"/>
    <mergeCell ref="E16:F16"/>
    <mergeCell ref="I27:K27"/>
    <mergeCell ref="C28:D28"/>
    <mergeCell ref="I28:K28"/>
    <mergeCell ref="I29:K29"/>
    <mergeCell ref="C21:D21"/>
    <mergeCell ref="I21:K21"/>
    <mergeCell ref="C22:D22"/>
    <mergeCell ref="I22:K22"/>
    <mergeCell ref="C23:D23"/>
    <mergeCell ref="I23:K23"/>
    <mergeCell ref="I24:K24"/>
    <mergeCell ref="C25:D25"/>
    <mergeCell ref="I25:K25"/>
    <mergeCell ref="C26:D26"/>
    <mergeCell ref="I26:K26"/>
    <mergeCell ref="I18:K18"/>
    <mergeCell ref="C19:D19"/>
    <mergeCell ref="I19:K19"/>
    <mergeCell ref="C20:D20"/>
    <mergeCell ref="I20:K20"/>
    <mergeCell ref="G16:H16"/>
    <mergeCell ref="I16:K16"/>
    <mergeCell ref="C17:D17"/>
    <mergeCell ref="I17:K17"/>
    <mergeCell ref="C14:D14"/>
    <mergeCell ref="E14:F14"/>
    <mergeCell ref="G14:H14"/>
    <mergeCell ref="I14:K14"/>
    <mergeCell ref="C15:D15"/>
    <mergeCell ref="E15:F15"/>
    <mergeCell ref="G15:H15"/>
    <mergeCell ref="I15:K15"/>
    <mergeCell ref="B8:K8"/>
    <mergeCell ref="B9:C9"/>
    <mergeCell ref="D9:F9"/>
    <mergeCell ref="H9:J9"/>
    <mergeCell ref="B10:C10"/>
    <mergeCell ref="D10:F10"/>
    <mergeCell ref="B6:K6"/>
    <mergeCell ref="B2:D3"/>
    <mergeCell ref="E2:J3"/>
    <mergeCell ref="B4:D4"/>
    <mergeCell ref="E4:J5"/>
    <mergeCell ref="B5:D5"/>
  </mergeCells>
  <printOptions horizontalCentered="1"/>
  <pageMargins left="0" right="0" top="0" bottom="0" header="0" footer="0"/>
  <pageSetup paperSize="9" scale="94" orientation="portrait" r:id="rId1"/>
  <headerFooter alignWithMargins="0">
    <oddHeader xml:space="preserve">&amp;C           </oddHeader>
    <oddFooter>&amp;LEA-EN-WH-P-009-F-01; Rev 7.0; 4.18.2024</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27BF-4303-42F8-89D2-34368EBB0F9D}">
  <sheetPr>
    <pageSetUpPr fitToPage="1"/>
  </sheetPr>
  <dimension ref="B1:R44"/>
  <sheetViews>
    <sheetView showGridLines="0" zoomScaleSheetLayoutView="100" zoomScalePageLayoutView="66" workbookViewId="0">
      <selection activeCell="V14" sqref="V14"/>
    </sheetView>
  </sheetViews>
  <sheetFormatPr defaultColWidth="9.140625" defaultRowHeight="12.75" x14ac:dyDescent="0.2"/>
  <cols>
    <col min="1" max="1" width="2"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4"/>
      <c r="C2" s="175"/>
      <c r="D2" s="175"/>
      <c r="E2" s="178" t="s">
        <v>0</v>
      </c>
      <c r="F2" s="179"/>
      <c r="G2" s="179"/>
      <c r="H2" s="179"/>
      <c r="I2" s="179"/>
      <c r="J2" s="179"/>
      <c r="K2" s="179"/>
      <c r="L2" s="2" t="s">
        <v>1</v>
      </c>
    </row>
    <row r="3" spans="2:14" ht="14.25" customHeight="1" x14ac:dyDescent="0.2">
      <c r="B3" s="176"/>
      <c r="C3" s="177"/>
      <c r="D3" s="177"/>
      <c r="E3" s="180"/>
      <c r="F3" s="181"/>
      <c r="G3" s="181"/>
      <c r="H3" s="181"/>
      <c r="I3" s="181"/>
      <c r="J3" s="181"/>
      <c r="K3" s="181"/>
      <c r="L3" s="13" t="str">
        <f>'Work Instruction pg.1'!K3</f>
        <v>18/04/2024</v>
      </c>
    </row>
    <row r="4" spans="2:14" ht="14.25" customHeight="1" x14ac:dyDescent="0.2">
      <c r="B4" s="182" t="s">
        <v>2</v>
      </c>
      <c r="C4" s="183"/>
      <c r="D4" s="184"/>
      <c r="E4" s="185" t="s">
        <v>3</v>
      </c>
      <c r="F4" s="186"/>
      <c r="G4" s="186"/>
      <c r="H4" s="186"/>
      <c r="I4" s="186"/>
      <c r="J4" s="186"/>
      <c r="K4" s="186"/>
      <c r="L4" s="3" t="s">
        <v>4</v>
      </c>
    </row>
    <row r="5" spans="2:14" ht="14.25" customHeight="1" x14ac:dyDescent="0.2">
      <c r="B5" s="235" t="s">
        <v>5</v>
      </c>
      <c r="C5" s="236"/>
      <c r="D5" s="237"/>
      <c r="E5" s="188"/>
      <c r="F5" s="189"/>
      <c r="G5" s="189"/>
      <c r="H5" s="189"/>
      <c r="I5" s="189"/>
      <c r="J5" s="189"/>
      <c r="K5" s="189"/>
      <c r="L5" s="5" t="str">
        <f>'Work Instruction pg.1'!K5</f>
        <v>7.0</v>
      </c>
    </row>
    <row r="6" spans="2:14" ht="23.25" customHeight="1" thickBot="1" x14ac:dyDescent="0.25">
      <c r="B6" s="238" t="s">
        <v>7</v>
      </c>
      <c r="C6" s="239"/>
      <c r="D6" s="239"/>
      <c r="E6" s="239"/>
      <c r="F6" s="239"/>
      <c r="G6" s="239"/>
      <c r="H6" s="239"/>
      <c r="I6" s="239"/>
      <c r="J6" s="239"/>
      <c r="K6" s="239"/>
      <c r="L6" s="240"/>
    </row>
    <row r="7" spans="2:14" ht="16.5" customHeight="1" thickTop="1" x14ac:dyDescent="0.25">
      <c r="C7" s="56"/>
      <c r="D7" s="17"/>
      <c r="E7" s="17"/>
      <c r="F7" s="17"/>
      <c r="G7" s="17"/>
      <c r="H7" s="17"/>
      <c r="I7" s="17"/>
      <c r="J7" s="8"/>
      <c r="K7" s="17"/>
      <c r="L7" s="17"/>
    </row>
    <row r="8" spans="2:14" ht="24.75" customHeight="1" x14ac:dyDescent="0.2">
      <c r="B8" s="208" t="s">
        <v>11</v>
      </c>
      <c r="C8" s="208"/>
      <c r="D8" s="224" t="s">
        <v>331</v>
      </c>
      <c r="E8" s="224"/>
      <c r="F8" s="224"/>
      <c r="H8" s="1" t="s">
        <v>12</v>
      </c>
      <c r="I8" s="100" t="s">
        <v>332</v>
      </c>
      <c r="K8" s="1" t="s">
        <v>13</v>
      </c>
      <c r="L8" s="100" t="s">
        <v>333</v>
      </c>
    </row>
    <row r="9" spans="2:14" ht="24.75" customHeight="1" x14ac:dyDescent="0.2">
      <c r="B9" s="208" t="s">
        <v>15</v>
      </c>
      <c r="C9" s="208"/>
      <c r="D9" s="225" t="s">
        <v>335</v>
      </c>
      <c r="E9" s="225"/>
      <c r="F9" s="225"/>
      <c r="H9" s="1" t="s">
        <v>70</v>
      </c>
      <c r="I9" s="101">
        <v>42398</v>
      </c>
      <c r="K9" s="1" t="s">
        <v>14</v>
      </c>
      <c r="L9" s="102" t="s">
        <v>346</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6" t="s">
        <v>150</v>
      </c>
      <c r="H11" s="227"/>
      <c r="I11" s="61"/>
      <c r="J11" s="265" t="s">
        <v>151</v>
      </c>
      <c r="K11" s="226"/>
      <c r="L11" s="62"/>
      <c r="M11" s="26"/>
      <c r="N11" s="29"/>
    </row>
    <row r="12" spans="2:14" ht="27" customHeight="1" x14ac:dyDescent="0.2">
      <c r="B12" s="267"/>
      <c r="C12" s="267"/>
      <c r="D12" s="267"/>
      <c r="E12" s="267"/>
      <c r="F12" s="267"/>
      <c r="G12" s="247" t="s">
        <v>71</v>
      </c>
      <c r="H12" s="247" t="s">
        <v>72</v>
      </c>
      <c r="I12" s="247" t="s">
        <v>73</v>
      </c>
      <c r="J12" s="247" t="s">
        <v>74</v>
      </c>
      <c r="K12" s="285" t="s">
        <v>21</v>
      </c>
      <c r="L12" s="284"/>
      <c r="M12" s="26"/>
      <c r="N12" s="29"/>
    </row>
    <row r="13" spans="2:14" ht="42" customHeight="1" x14ac:dyDescent="0.2">
      <c r="B13" s="268"/>
      <c r="C13" s="268"/>
      <c r="D13" s="268"/>
      <c r="E13" s="268"/>
      <c r="F13" s="268"/>
      <c r="G13" s="248"/>
      <c r="H13" s="248"/>
      <c r="I13" s="248"/>
      <c r="J13" s="248"/>
      <c r="K13" s="285"/>
      <c r="L13" s="266"/>
      <c r="M13" s="26"/>
      <c r="N13" s="29"/>
    </row>
    <row r="14" spans="2:14" ht="24.6" customHeight="1" x14ac:dyDescent="0.2">
      <c r="B14" s="63" t="s">
        <v>347</v>
      </c>
      <c r="C14" s="249" t="s">
        <v>348</v>
      </c>
      <c r="D14" s="250"/>
      <c r="E14" s="250"/>
      <c r="F14" s="251"/>
      <c r="G14" s="113"/>
      <c r="H14" s="114"/>
      <c r="I14" s="114"/>
      <c r="J14" s="114"/>
      <c r="K14" s="114"/>
      <c r="L14" s="147"/>
      <c r="M14" s="26"/>
      <c r="N14" s="29"/>
    </row>
    <row r="15" spans="2:14" ht="24.6" customHeight="1" x14ac:dyDescent="0.2">
      <c r="B15" s="64" t="s">
        <v>349</v>
      </c>
      <c r="C15" s="241" t="s">
        <v>350</v>
      </c>
      <c r="D15" s="241"/>
      <c r="E15" s="241"/>
      <c r="F15" s="241"/>
      <c r="G15" s="65" t="s">
        <v>351</v>
      </c>
      <c r="H15" s="65"/>
      <c r="I15" s="65"/>
      <c r="J15" s="65" t="s">
        <v>351</v>
      </c>
      <c r="K15" s="146"/>
      <c r="L15" s="148"/>
      <c r="M15" s="26"/>
      <c r="N15" s="29"/>
    </row>
    <row r="16" spans="2:14" ht="24.6" customHeight="1" x14ac:dyDescent="0.2">
      <c r="B16" s="64" t="s">
        <v>352</v>
      </c>
      <c r="C16" s="241" t="s">
        <v>353</v>
      </c>
      <c r="D16" s="241"/>
      <c r="E16" s="241"/>
      <c r="F16" s="241"/>
      <c r="G16" s="65" t="s">
        <v>351</v>
      </c>
      <c r="H16" s="65" t="s">
        <v>354</v>
      </c>
      <c r="I16" s="65"/>
      <c r="J16" s="65" t="s">
        <v>351</v>
      </c>
      <c r="K16" s="66"/>
      <c r="L16" s="148"/>
      <c r="M16" s="26"/>
      <c r="N16" s="29"/>
    </row>
    <row r="17" spans="2:18" ht="24.6" customHeight="1" x14ac:dyDescent="0.2">
      <c r="B17" s="64" t="s">
        <v>355</v>
      </c>
      <c r="C17" s="241" t="s">
        <v>184</v>
      </c>
      <c r="D17" s="241"/>
      <c r="E17" s="241"/>
      <c r="F17" s="241"/>
      <c r="G17" s="65" t="s">
        <v>356</v>
      </c>
      <c r="H17" s="69" t="s">
        <v>357</v>
      </c>
      <c r="I17" s="65"/>
      <c r="J17" s="65" t="s">
        <v>351</v>
      </c>
      <c r="K17" s="66"/>
      <c r="L17" s="148"/>
      <c r="M17" s="26"/>
      <c r="N17" s="29"/>
      <c r="R17" s="1" t="s">
        <v>9</v>
      </c>
    </row>
    <row r="18" spans="2:18" ht="24.6" customHeight="1" x14ac:dyDescent="0.2">
      <c r="B18" s="64" t="s">
        <v>358</v>
      </c>
      <c r="C18" s="241" t="s">
        <v>359</v>
      </c>
      <c r="D18" s="241"/>
      <c r="E18" s="241"/>
      <c r="F18" s="241"/>
      <c r="G18" s="65" t="s">
        <v>360</v>
      </c>
      <c r="H18" s="65" t="s">
        <v>361</v>
      </c>
      <c r="I18" s="65"/>
      <c r="J18" s="65" t="s">
        <v>360</v>
      </c>
      <c r="K18" s="65" t="s">
        <v>362</v>
      </c>
      <c r="L18" s="148"/>
      <c r="M18" s="26"/>
      <c r="N18" s="29"/>
    </row>
    <row r="19" spans="2:18" ht="24.6" customHeight="1" x14ac:dyDescent="0.2">
      <c r="B19" s="64" t="s">
        <v>363</v>
      </c>
      <c r="C19" s="241" t="s">
        <v>126</v>
      </c>
      <c r="D19" s="241"/>
      <c r="E19" s="241"/>
      <c r="F19" s="241"/>
      <c r="G19" s="65" t="s">
        <v>356</v>
      </c>
      <c r="H19" s="69" t="s">
        <v>364</v>
      </c>
      <c r="I19" s="65" t="s">
        <v>365</v>
      </c>
      <c r="J19" s="65" t="s">
        <v>351</v>
      </c>
      <c r="K19" s="69" t="s">
        <v>366</v>
      </c>
      <c r="L19" s="148"/>
      <c r="M19" s="26"/>
      <c r="N19" s="29"/>
    </row>
    <row r="20" spans="2:18" ht="24.6" customHeight="1" x14ac:dyDescent="0.2">
      <c r="B20" s="64" t="s">
        <v>367</v>
      </c>
      <c r="C20" s="241" t="s">
        <v>368</v>
      </c>
      <c r="D20" s="241"/>
      <c r="E20" s="241"/>
      <c r="F20" s="241"/>
      <c r="G20" s="65" t="s">
        <v>356</v>
      </c>
      <c r="H20" s="69" t="s">
        <v>369</v>
      </c>
      <c r="I20" s="65" t="s">
        <v>370</v>
      </c>
      <c r="J20" s="65" t="s">
        <v>360</v>
      </c>
      <c r="K20" s="69" t="s">
        <v>371</v>
      </c>
      <c r="L20" s="148"/>
      <c r="M20" s="26"/>
      <c r="N20" s="29"/>
    </row>
    <row r="21" spans="2:18" ht="24.6" customHeight="1" x14ac:dyDescent="0.2">
      <c r="B21" s="64" t="s">
        <v>367</v>
      </c>
      <c r="C21" s="241"/>
      <c r="D21" s="241"/>
      <c r="E21" s="241"/>
      <c r="F21" s="241"/>
      <c r="G21" s="65" t="s">
        <v>356</v>
      </c>
      <c r="H21" s="69" t="s">
        <v>369</v>
      </c>
      <c r="I21" s="65" t="s">
        <v>372</v>
      </c>
      <c r="J21" s="65" t="s">
        <v>356</v>
      </c>
      <c r="K21" s="65" t="s">
        <v>373</v>
      </c>
      <c r="L21" s="148"/>
      <c r="M21" s="31"/>
    </row>
    <row r="22" spans="2:18" ht="24.6" customHeight="1" x14ac:dyDescent="0.2">
      <c r="B22" s="64"/>
      <c r="C22" s="241"/>
      <c r="D22" s="241"/>
      <c r="E22" s="241"/>
      <c r="F22" s="241"/>
      <c r="G22" s="65"/>
      <c r="H22" s="65"/>
      <c r="I22" s="65"/>
      <c r="J22" s="65"/>
      <c r="K22" s="85"/>
      <c r="L22" s="148"/>
      <c r="M22" s="31"/>
    </row>
    <row r="23" spans="2:18" ht="24.6" customHeight="1" x14ac:dyDescent="0.2">
      <c r="B23" s="64"/>
      <c r="C23" s="241"/>
      <c r="D23" s="241"/>
      <c r="E23" s="241"/>
      <c r="F23" s="241"/>
      <c r="G23" s="65"/>
      <c r="H23" s="65"/>
      <c r="I23" s="65"/>
      <c r="J23" s="65"/>
      <c r="K23" s="68"/>
      <c r="L23" s="148"/>
      <c r="M23" s="31"/>
      <c r="N23" s="31"/>
    </row>
    <row r="24" spans="2:18" ht="24.6" customHeight="1" x14ac:dyDescent="0.2">
      <c r="B24" s="64"/>
      <c r="C24" s="260"/>
      <c r="D24" s="261"/>
      <c r="E24" s="261"/>
      <c r="F24" s="262"/>
      <c r="G24" s="65"/>
      <c r="H24" s="65"/>
      <c r="I24" s="65"/>
      <c r="J24" s="65"/>
      <c r="K24" s="68"/>
      <c r="L24" s="148"/>
      <c r="M24" s="31"/>
      <c r="N24" s="31"/>
    </row>
    <row r="25" spans="2:18" ht="24.6" customHeight="1" x14ac:dyDescent="0.2">
      <c r="B25" s="64"/>
      <c r="C25" s="260"/>
      <c r="D25" s="261"/>
      <c r="E25" s="261"/>
      <c r="F25" s="262"/>
      <c r="G25" s="65"/>
      <c r="H25" s="69"/>
      <c r="I25" s="65"/>
      <c r="J25" s="65"/>
      <c r="K25" s="70"/>
      <c r="L25" s="148"/>
      <c r="M25" s="31"/>
      <c r="N25" s="31"/>
    </row>
    <row r="26" spans="2:18" ht="24.6" customHeight="1" x14ac:dyDescent="0.2">
      <c r="B26" s="64"/>
      <c r="C26" s="260"/>
      <c r="D26" s="261"/>
      <c r="E26" s="261"/>
      <c r="F26" s="262"/>
      <c r="G26" s="65"/>
      <c r="H26" s="69"/>
      <c r="I26" s="65"/>
      <c r="J26" s="65"/>
      <c r="K26" s="69"/>
      <c r="L26" s="148"/>
      <c r="M26" s="31"/>
      <c r="N26" s="31"/>
    </row>
    <row r="27" spans="2:18" ht="35.1" customHeight="1" x14ac:dyDescent="0.2">
      <c r="B27" s="86"/>
      <c r="C27" s="260"/>
      <c r="D27" s="261"/>
      <c r="E27" s="261"/>
      <c r="F27" s="262"/>
      <c r="G27" s="65"/>
      <c r="H27" s="65"/>
      <c r="I27" s="65"/>
      <c r="J27" s="65"/>
      <c r="K27" s="68"/>
      <c r="L27" s="148"/>
      <c r="M27" s="31"/>
      <c r="N27" s="31"/>
    </row>
    <row r="28" spans="2:18" ht="24.6" customHeight="1" x14ac:dyDescent="0.2">
      <c r="K28" s="31"/>
      <c r="L28" s="31"/>
      <c r="M28" s="31"/>
      <c r="N28" s="31"/>
    </row>
    <row r="29" spans="2:18" ht="12.95" customHeight="1" x14ac:dyDescent="0.2">
      <c r="B29" s="48"/>
      <c r="C29" s="221"/>
      <c r="D29" s="221"/>
      <c r="E29" s="221"/>
      <c r="F29" s="221"/>
    </row>
    <row r="30" spans="2:18" ht="12.95" customHeight="1" x14ac:dyDescent="0.2">
      <c r="B30" s="48"/>
      <c r="C30" s="221"/>
      <c r="D30" s="221"/>
      <c r="E30" s="221"/>
      <c r="F30" s="221"/>
    </row>
    <row r="31" spans="2:18" ht="12.95" customHeight="1" x14ac:dyDescent="0.2">
      <c r="B31" s="48"/>
      <c r="C31" s="221"/>
      <c r="D31" s="221"/>
      <c r="E31" s="221"/>
      <c r="F31" s="221"/>
    </row>
    <row r="32" spans="2:18" ht="12.95" customHeight="1" x14ac:dyDescent="0.2">
      <c r="B32" s="222"/>
      <c r="C32" s="223"/>
      <c r="D32" s="223"/>
      <c r="E32" s="223"/>
      <c r="F32" s="223"/>
    </row>
    <row r="33" spans="2:6" ht="12.95" customHeight="1" x14ac:dyDescent="0.2">
      <c r="B33" s="47"/>
      <c r="C33" s="221"/>
      <c r="D33" s="221"/>
      <c r="E33" s="221"/>
      <c r="F33" s="221"/>
    </row>
    <row r="34" spans="2:6" ht="12.95" customHeight="1" x14ac:dyDescent="0.2">
      <c r="B34" s="48"/>
      <c r="C34" s="221"/>
      <c r="D34" s="221"/>
      <c r="E34" s="221"/>
      <c r="F34" s="221"/>
    </row>
    <row r="35" spans="2:6" ht="12.95" customHeight="1" x14ac:dyDescent="0.2">
      <c r="B35" s="48"/>
      <c r="C35" s="221"/>
      <c r="D35" s="221"/>
      <c r="E35" s="221"/>
      <c r="F35" s="221"/>
    </row>
    <row r="36" spans="2:6" ht="12.95" customHeight="1" x14ac:dyDescent="0.2">
      <c r="B36" s="48"/>
      <c r="C36" s="221"/>
      <c r="D36" s="221"/>
      <c r="E36" s="221"/>
      <c r="F36" s="221"/>
    </row>
    <row r="37" spans="2:6" ht="12.95" customHeight="1" x14ac:dyDescent="0.2">
      <c r="B37" s="48"/>
      <c r="C37" s="221"/>
      <c r="D37" s="221"/>
      <c r="E37" s="221"/>
      <c r="F37" s="221"/>
    </row>
    <row r="38" spans="2:6" ht="12.95" customHeight="1" x14ac:dyDescent="0.2">
      <c r="B38" s="48"/>
      <c r="C38" s="221"/>
      <c r="D38" s="221"/>
      <c r="E38" s="221"/>
      <c r="F38" s="221"/>
    </row>
    <row r="39" spans="2:6" ht="12.95" customHeight="1" x14ac:dyDescent="0.2">
      <c r="B39" s="48"/>
      <c r="C39" s="221"/>
      <c r="D39" s="221"/>
      <c r="E39" s="221"/>
      <c r="F39" s="221"/>
    </row>
    <row r="40" spans="2:6" ht="12.95" customHeight="1" x14ac:dyDescent="0.2">
      <c r="B40" s="48"/>
      <c r="C40" s="221"/>
      <c r="D40" s="221"/>
      <c r="E40" s="221"/>
      <c r="F40" s="221"/>
    </row>
    <row r="41" spans="2:6" ht="12.95" customHeight="1" x14ac:dyDescent="0.2">
      <c r="B41" s="48"/>
      <c r="C41" s="221"/>
      <c r="D41" s="221"/>
      <c r="E41" s="221"/>
      <c r="F41" s="221"/>
    </row>
    <row r="42" spans="2:6" x14ac:dyDescent="0.2">
      <c r="B42" s="48"/>
      <c r="C42" s="221"/>
      <c r="D42" s="221"/>
      <c r="E42" s="221"/>
      <c r="F42" s="221"/>
    </row>
    <row r="43" spans="2:6" x14ac:dyDescent="0.2">
      <c r="B43" s="48"/>
      <c r="C43" s="221"/>
      <c r="D43" s="221"/>
      <c r="E43" s="221"/>
      <c r="F43" s="221"/>
    </row>
    <row r="44" spans="2:6" x14ac:dyDescent="0.2">
      <c r="B44" s="222"/>
      <c r="C44" s="223"/>
      <c r="D44" s="223"/>
      <c r="E44" s="223"/>
      <c r="F44" s="223"/>
    </row>
  </sheetData>
  <mergeCells count="49">
    <mergeCell ref="C43:F43"/>
    <mergeCell ref="B44:F44"/>
    <mergeCell ref="C37:F37"/>
    <mergeCell ref="C38:F38"/>
    <mergeCell ref="C39:F39"/>
    <mergeCell ref="C40:F40"/>
    <mergeCell ref="C41:F41"/>
    <mergeCell ref="C42:F42"/>
    <mergeCell ref="C21:F21"/>
    <mergeCell ref="C22:F22"/>
    <mergeCell ref="C36:F36"/>
    <mergeCell ref="C24:F24"/>
    <mergeCell ref="C25:F25"/>
    <mergeCell ref="C26:F26"/>
    <mergeCell ref="C27:F27"/>
    <mergeCell ref="C29:F29"/>
    <mergeCell ref="C30:F30"/>
    <mergeCell ref="C31:F31"/>
    <mergeCell ref="B32:F32"/>
    <mergeCell ref="C33:F33"/>
    <mergeCell ref="C34:F34"/>
    <mergeCell ref="C35:F35"/>
    <mergeCell ref="C23:F23"/>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EB36-86D9-4D5C-9A6E-CAB753ACBF7F}">
  <sheetPr>
    <pageSetUpPr fitToPage="1"/>
  </sheetPr>
  <dimension ref="B1:S31"/>
  <sheetViews>
    <sheetView showGridLines="0" zoomScaleSheetLayoutView="100" zoomScalePageLayoutView="66" workbookViewId="0">
      <selection activeCell="V14" sqref="V14"/>
    </sheetView>
  </sheetViews>
  <sheetFormatPr defaultColWidth="9.140625" defaultRowHeight="12.75" x14ac:dyDescent="0.2"/>
  <cols>
    <col min="1" max="1" width="1.5703125" style="1" customWidth="1"/>
    <col min="2" max="5" width="10.42578125" style="1" customWidth="1"/>
    <col min="6" max="6" width="2.5703125" style="1" customWidth="1"/>
    <col min="7" max="7" width="10.42578125" style="1" customWidth="1"/>
    <col min="8" max="9" width="11.42578125" style="1" customWidth="1"/>
    <col min="10" max="10" width="7.5703125" style="1" customWidth="1"/>
    <col min="11" max="11" width="19.85546875" style="1" customWidth="1"/>
    <col min="12" max="16384" width="9.140625" style="1"/>
  </cols>
  <sheetData>
    <row r="1" spans="2:13" ht="13.5" thickBot="1" x14ac:dyDescent="0.25"/>
    <row r="2" spans="2:13" ht="14.25" customHeight="1" thickTop="1" x14ac:dyDescent="0.25">
      <c r="B2" s="174"/>
      <c r="C2" s="175"/>
      <c r="D2" s="175"/>
      <c r="E2" s="178" t="s">
        <v>0</v>
      </c>
      <c r="F2" s="179"/>
      <c r="G2" s="179"/>
      <c r="H2" s="179"/>
      <c r="I2" s="179"/>
      <c r="J2" s="179"/>
      <c r="K2" s="2" t="s">
        <v>1</v>
      </c>
    </row>
    <row r="3" spans="2:13" ht="14.25" customHeight="1" x14ac:dyDescent="0.2">
      <c r="B3" s="176"/>
      <c r="C3" s="177"/>
      <c r="D3" s="177"/>
      <c r="E3" s="180"/>
      <c r="F3" s="181"/>
      <c r="G3" s="181"/>
      <c r="H3" s="181"/>
      <c r="I3" s="181"/>
      <c r="J3" s="181"/>
      <c r="K3" s="111" t="str">
        <f>'Work Instruction pg.1'!K3</f>
        <v>18/04/2024</v>
      </c>
    </row>
    <row r="4" spans="2:13" ht="14.25" customHeight="1" x14ac:dyDescent="0.25">
      <c r="B4" s="182" t="s">
        <v>2</v>
      </c>
      <c r="C4" s="183"/>
      <c r="D4" s="184"/>
      <c r="E4" s="185" t="s">
        <v>3</v>
      </c>
      <c r="F4" s="186"/>
      <c r="G4" s="186"/>
      <c r="H4" s="186"/>
      <c r="I4" s="186"/>
      <c r="J4" s="187"/>
      <c r="K4" s="3" t="s">
        <v>4</v>
      </c>
      <c r="M4" s="4"/>
    </row>
    <row r="5" spans="2:13" ht="14.25" customHeight="1" x14ac:dyDescent="0.2">
      <c r="B5" s="182" t="s">
        <v>5</v>
      </c>
      <c r="C5" s="183"/>
      <c r="D5" s="184"/>
      <c r="E5" s="188"/>
      <c r="F5" s="189"/>
      <c r="G5" s="189"/>
      <c r="H5" s="189"/>
      <c r="I5" s="189"/>
      <c r="J5" s="190"/>
      <c r="K5" s="5" t="str">
        <f>'Work Instruction pg.1'!K5</f>
        <v>7.0</v>
      </c>
    </row>
    <row r="6" spans="2:13" ht="26.25" customHeight="1" thickBot="1" x14ac:dyDescent="0.25">
      <c r="B6" s="191" t="s">
        <v>7</v>
      </c>
      <c r="C6" s="192"/>
      <c r="D6" s="192"/>
      <c r="E6" s="192"/>
      <c r="F6" s="192"/>
      <c r="G6" s="192"/>
      <c r="H6" s="192"/>
      <c r="I6" s="192"/>
      <c r="J6" s="192"/>
      <c r="K6" s="193"/>
    </row>
    <row r="7" spans="2:13" ht="15" customHeight="1" thickTop="1" x14ac:dyDescent="0.25">
      <c r="B7" s="6"/>
      <c r="D7" s="7"/>
      <c r="E7" s="7"/>
      <c r="F7" s="7"/>
      <c r="G7" s="7"/>
      <c r="K7" s="8"/>
    </row>
    <row r="8" spans="2:13" ht="15.75" customHeight="1" x14ac:dyDescent="0.2">
      <c r="B8" s="162" t="s">
        <v>374</v>
      </c>
      <c r="C8" s="163"/>
      <c r="D8" s="163"/>
      <c r="E8" s="163"/>
      <c r="F8" s="163"/>
      <c r="G8" s="163"/>
      <c r="H8" s="163"/>
      <c r="I8" s="163"/>
      <c r="J8" s="163"/>
      <c r="K8" s="164"/>
    </row>
    <row r="9" spans="2:13" x14ac:dyDescent="0.2">
      <c r="B9" s="165"/>
      <c r="C9" s="166"/>
      <c r="D9" s="166"/>
      <c r="E9" s="166"/>
      <c r="F9" s="166"/>
      <c r="G9" s="166"/>
      <c r="H9" s="166"/>
      <c r="I9" s="166"/>
      <c r="J9" s="166"/>
      <c r="K9" s="167"/>
    </row>
    <row r="10" spans="2:13" ht="12.75" customHeight="1" x14ac:dyDescent="0.25">
      <c r="B10" s="9"/>
      <c r="C10" s="10"/>
      <c r="D10" s="10"/>
      <c r="E10" s="10"/>
      <c r="F10" s="10"/>
      <c r="G10" s="10"/>
      <c r="H10" s="10"/>
      <c r="I10" s="10"/>
      <c r="J10" s="10"/>
      <c r="K10" s="11"/>
    </row>
    <row r="11" spans="2:13" ht="12.75" customHeight="1" x14ac:dyDescent="0.25">
      <c r="B11" s="87"/>
      <c r="C11" s="88"/>
      <c r="D11" s="88"/>
      <c r="E11" s="88"/>
      <c r="F11" s="88"/>
      <c r="G11" s="88"/>
      <c r="H11" s="88"/>
      <c r="I11" s="88"/>
      <c r="J11" s="88"/>
      <c r="K11" s="89"/>
    </row>
    <row r="12" spans="2:13" x14ac:dyDescent="0.2">
      <c r="B12" s="90">
        <v>1</v>
      </c>
      <c r="C12" s="1" t="s">
        <v>375</v>
      </c>
      <c r="K12" s="91"/>
    </row>
    <row r="13" spans="2:13" x14ac:dyDescent="0.2">
      <c r="B13" s="90"/>
      <c r="C13" s="1" t="s">
        <v>376</v>
      </c>
      <c r="K13" s="91"/>
    </row>
    <row r="14" spans="2:13" x14ac:dyDescent="0.2">
      <c r="B14" s="90"/>
      <c r="C14" s="1" t="s">
        <v>377</v>
      </c>
      <c r="I14" s="23"/>
      <c r="J14" s="23"/>
      <c r="K14" s="92"/>
    </row>
    <row r="15" spans="2:13" x14ac:dyDescent="0.2">
      <c r="B15" s="90"/>
      <c r="C15" s="1" t="s">
        <v>378</v>
      </c>
      <c r="K15" s="91"/>
    </row>
    <row r="16" spans="2:13" x14ac:dyDescent="0.2">
      <c r="B16" s="90"/>
      <c r="K16" s="91"/>
    </row>
    <row r="17" spans="2:19" x14ac:dyDescent="0.2">
      <c r="B17" s="90">
        <v>2</v>
      </c>
      <c r="C17" s="1" t="s">
        <v>379</v>
      </c>
      <c r="K17" s="91"/>
      <c r="S17" s="1" t="s">
        <v>9</v>
      </c>
    </row>
    <row r="18" spans="2:19" x14ac:dyDescent="0.2">
      <c r="B18" s="90"/>
      <c r="C18" s="1" t="s">
        <v>380</v>
      </c>
      <c r="K18" s="91"/>
    </row>
    <row r="19" spans="2:19" x14ac:dyDescent="0.2">
      <c r="B19" s="90"/>
      <c r="K19" s="91"/>
    </row>
    <row r="20" spans="2:19" x14ac:dyDescent="0.2">
      <c r="B20" s="90">
        <v>3</v>
      </c>
      <c r="C20" s="1" t="s">
        <v>381</v>
      </c>
      <c r="K20" s="91"/>
    </row>
    <row r="21" spans="2:19" x14ac:dyDescent="0.2">
      <c r="B21" s="90"/>
      <c r="K21" s="91"/>
    </row>
    <row r="22" spans="2:19" x14ac:dyDescent="0.2">
      <c r="B22" s="90">
        <v>4</v>
      </c>
      <c r="C22" s="1" t="s">
        <v>382</v>
      </c>
      <c r="K22" s="91"/>
    </row>
    <row r="23" spans="2:19" x14ac:dyDescent="0.2">
      <c r="B23" s="90"/>
      <c r="K23" s="91"/>
    </row>
    <row r="24" spans="2:19" x14ac:dyDescent="0.2">
      <c r="B24" s="90">
        <v>5</v>
      </c>
      <c r="C24" s="1" t="s">
        <v>383</v>
      </c>
      <c r="G24" s="93"/>
      <c r="K24" s="91"/>
    </row>
    <row r="25" spans="2:19" x14ac:dyDescent="0.2">
      <c r="B25" s="90"/>
      <c r="C25" s="1" t="s">
        <v>384</v>
      </c>
      <c r="G25" s="93"/>
      <c r="K25" s="91"/>
    </row>
    <row r="26" spans="2:19" x14ac:dyDescent="0.2">
      <c r="B26" s="90"/>
      <c r="C26" s="1" t="s">
        <v>385</v>
      </c>
      <c r="G26" s="93"/>
      <c r="K26" s="91"/>
    </row>
    <row r="27" spans="2:19" x14ac:dyDescent="0.2">
      <c r="B27" s="90"/>
      <c r="C27" s="1" t="s">
        <v>378</v>
      </c>
      <c r="H27" s="93"/>
      <c r="I27" s="93"/>
      <c r="J27" s="93"/>
      <c r="K27" s="94"/>
    </row>
    <row r="28" spans="2:19" x14ac:dyDescent="0.2">
      <c r="B28" s="90"/>
      <c r="H28" s="93"/>
      <c r="I28" s="93"/>
      <c r="J28" s="93"/>
      <c r="K28" s="94"/>
    </row>
    <row r="29" spans="2:19" x14ac:dyDescent="0.2">
      <c r="B29" s="90">
        <v>6</v>
      </c>
      <c r="C29" s="1" t="s">
        <v>386</v>
      </c>
      <c r="K29" s="91"/>
    </row>
    <row r="30" spans="2:19" x14ac:dyDescent="0.2">
      <c r="B30" s="90"/>
      <c r="K30" s="91"/>
    </row>
    <row r="31" spans="2:19" x14ac:dyDescent="0.2">
      <c r="B31" s="95"/>
      <c r="C31" s="18"/>
      <c r="D31" s="18"/>
      <c r="E31" s="18"/>
      <c r="F31" s="18"/>
      <c r="G31" s="18"/>
      <c r="H31" s="18"/>
      <c r="I31" s="18"/>
      <c r="J31" s="18"/>
      <c r="K31" s="96"/>
    </row>
  </sheetData>
  <mergeCells count="7">
    <mergeCell ref="B8:K9"/>
    <mergeCell ref="B2:D3"/>
    <mergeCell ref="E2:J3"/>
    <mergeCell ref="B4:D4"/>
    <mergeCell ref="E4:J5"/>
    <mergeCell ref="B5:D5"/>
    <mergeCell ref="B6:K6"/>
  </mergeCells>
  <printOptions horizontalCentered="1"/>
  <pageMargins left="0" right="0" top="0" bottom="0" header="0" footer="0"/>
  <pageSetup paperSize="9" scale="97" orientation="portrait" r:id="rId1"/>
  <headerFooter alignWithMargins="0">
    <oddHeader xml:space="preserve">&amp;C           </oddHeader>
    <oddFooter>&amp;LEA-EN-WH-P-009-F-01; Rev 7.0; 4.18.2024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C75D-144A-4750-9692-18E5ACD2ECE4}">
  <sheetPr>
    <pageSetUpPr fitToPage="1"/>
  </sheetPr>
  <dimension ref="B2:K17"/>
  <sheetViews>
    <sheetView showGridLines="0" topLeftCell="A7" zoomScaleSheetLayoutView="100" zoomScalePageLayoutView="66" workbookViewId="0">
      <selection activeCell="B13" sqref="B13:H13"/>
    </sheetView>
  </sheetViews>
  <sheetFormatPr defaultColWidth="9.140625" defaultRowHeight="12.75" x14ac:dyDescent="0.2"/>
  <cols>
    <col min="1" max="1" width="1.5703125" style="1" customWidth="1"/>
    <col min="2" max="2" width="5.5703125" style="1" customWidth="1"/>
    <col min="3" max="3" width="14.42578125" style="1" customWidth="1"/>
    <col min="4" max="4" width="11.5703125" style="1" customWidth="1"/>
    <col min="5" max="5" width="10.5703125" style="1" customWidth="1"/>
    <col min="6" max="6" width="3.5703125" style="1" customWidth="1"/>
    <col min="7" max="7" width="8.5703125" style="1" customWidth="1"/>
    <col min="8" max="8" width="10" style="1" customWidth="1"/>
    <col min="9" max="9" width="11.42578125" style="1" customWidth="1"/>
    <col min="10" max="10" width="15.85546875" style="16" customWidth="1"/>
    <col min="11" max="11" width="15.140625" style="1" bestFit="1" customWidth="1"/>
    <col min="12" max="16384" width="9.140625" style="1"/>
  </cols>
  <sheetData>
    <row r="2" spans="2:11" ht="22.5" customHeight="1" thickBot="1" x14ac:dyDescent="0.3">
      <c r="B2" s="154" t="s">
        <v>387</v>
      </c>
      <c r="C2" s="154"/>
      <c r="D2" s="154"/>
      <c r="E2" s="154"/>
      <c r="F2" s="154"/>
      <c r="G2" s="154"/>
      <c r="H2" s="154"/>
      <c r="I2" s="154"/>
      <c r="J2" s="155"/>
      <c r="K2" s="153"/>
    </row>
    <row r="3" spans="2:11" ht="10.5" customHeight="1" thickTop="1" x14ac:dyDescent="0.25">
      <c r="B3" s="97"/>
      <c r="C3" s="97"/>
      <c r="D3" s="97"/>
      <c r="E3" s="97"/>
      <c r="F3" s="97"/>
      <c r="G3" s="97"/>
      <c r="H3" s="97"/>
      <c r="I3" s="97"/>
      <c r="J3" s="156"/>
    </row>
    <row r="4" spans="2:11" ht="10.5" customHeight="1" x14ac:dyDescent="0.2"/>
    <row r="5" spans="2:11" ht="15.75" x14ac:dyDescent="0.25">
      <c r="B5" s="289" t="s">
        <v>388</v>
      </c>
      <c r="C5" s="289"/>
      <c r="D5" s="289"/>
      <c r="E5" s="289"/>
      <c r="F5" s="289"/>
      <c r="G5" s="289"/>
      <c r="H5" s="289"/>
      <c r="I5" s="98" t="s">
        <v>389</v>
      </c>
      <c r="J5" s="157" t="s">
        <v>390</v>
      </c>
      <c r="K5" s="98" t="s">
        <v>411</v>
      </c>
    </row>
    <row r="6" spans="2:11" s="57" customFormat="1" ht="33.75" customHeight="1" x14ac:dyDescent="0.25">
      <c r="B6" s="286" t="s">
        <v>391</v>
      </c>
      <c r="C6" s="287"/>
      <c r="D6" s="287"/>
      <c r="E6" s="287"/>
      <c r="F6" s="287"/>
      <c r="G6" s="287"/>
      <c r="H6" s="288"/>
      <c r="I6" s="99" t="s">
        <v>392</v>
      </c>
      <c r="J6" s="149" t="s">
        <v>393</v>
      </c>
      <c r="K6" s="149" t="s">
        <v>412</v>
      </c>
    </row>
    <row r="7" spans="2:11" s="57" customFormat="1" ht="97.9" customHeight="1" x14ac:dyDescent="0.25">
      <c r="B7" s="286" t="s">
        <v>394</v>
      </c>
      <c r="C7" s="287"/>
      <c r="D7" s="287"/>
      <c r="E7" s="287"/>
      <c r="F7" s="287"/>
      <c r="G7" s="287"/>
      <c r="H7" s="288"/>
      <c r="I7" s="99" t="s">
        <v>395</v>
      </c>
      <c r="J7" s="149" t="s">
        <v>396</v>
      </c>
      <c r="K7" s="149" t="s">
        <v>412</v>
      </c>
    </row>
    <row r="8" spans="2:11" s="57" customFormat="1" ht="36.75" customHeight="1" x14ac:dyDescent="0.25">
      <c r="B8" s="286" t="s">
        <v>397</v>
      </c>
      <c r="C8" s="287"/>
      <c r="D8" s="287"/>
      <c r="E8" s="287"/>
      <c r="F8" s="287"/>
      <c r="G8" s="287"/>
      <c r="H8" s="288"/>
      <c r="I8" s="99" t="s">
        <v>398</v>
      </c>
      <c r="J8" s="149" t="s">
        <v>399</v>
      </c>
      <c r="K8" s="149" t="s">
        <v>412</v>
      </c>
    </row>
    <row r="9" spans="2:11" s="57" customFormat="1" ht="36.75" customHeight="1" x14ac:dyDescent="0.25">
      <c r="B9" s="286" t="s">
        <v>400</v>
      </c>
      <c r="C9" s="287"/>
      <c r="D9" s="287"/>
      <c r="E9" s="287"/>
      <c r="F9" s="287"/>
      <c r="G9" s="287"/>
      <c r="H9" s="288"/>
      <c r="I9" s="99" t="s">
        <v>401</v>
      </c>
      <c r="J9" s="149" t="s">
        <v>402</v>
      </c>
      <c r="K9" s="149" t="s">
        <v>412</v>
      </c>
    </row>
    <row r="10" spans="2:11" s="57" customFormat="1" ht="81" customHeight="1" x14ac:dyDescent="0.25">
      <c r="B10" s="286" t="s">
        <v>403</v>
      </c>
      <c r="C10" s="287"/>
      <c r="D10" s="287"/>
      <c r="E10" s="287"/>
      <c r="F10" s="287"/>
      <c r="G10" s="287"/>
      <c r="H10" s="288"/>
      <c r="I10" s="99" t="s">
        <v>404</v>
      </c>
      <c r="J10" s="149" t="s">
        <v>405</v>
      </c>
      <c r="K10" s="149" t="s">
        <v>412</v>
      </c>
    </row>
    <row r="11" spans="2:11" s="57" customFormat="1" ht="36.75" customHeight="1" x14ac:dyDescent="0.25">
      <c r="B11" s="286" t="s">
        <v>406</v>
      </c>
      <c r="C11" s="287"/>
      <c r="D11" s="287"/>
      <c r="E11" s="287"/>
      <c r="F11" s="287"/>
      <c r="G11" s="287"/>
      <c r="H11" s="288"/>
      <c r="I11" s="99" t="s">
        <v>407</v>
      </c>
      <c r="J11" s="149" t="s">
        <v>44</v>
      </c>
      <c r="K11" s="149" t="s">
        <v>412</v>
      </c>
    </row>
    <row r="12" spans="2:11" s="57" customFormat="1" ht="60" customHeight="1" x14ac:dyDescent="0.25">
      <c r="B12" s="286" t="s">
        <v>409</v>
      </c>
      <c r="C12" s="287"/>
      <c r="D12" s="287"/>
      <c r="E12" s="287"/>
      <c r="F12" s="287"/>
      <c r="G12" s="287"/>
      <c r="H12" s="288"/>
      <c r="I12" s="99" t="s">
        <v>6</v>
      </c>
      <c r="J12" s="149" t="s">
        <v>410</v>
      </c>
      <c r="K12" s="149" t="s">
        <v>412</v>
      </c>
    </row>
    <row r="13" spans="2:11" s="57" customFormat="1" ht="55.9" customHeight="1" x14ac:dyDescent="0.25">
      <c r="B13" s="286" t="s">
        <v>427</v>
      </c>
      <c r="C13" s="287"/>
      <c r="D13" s="287"/>
      <c r="E13" s="287"/>
      <c r="F13" s="287"/>
      <c r="G13" s="287"/>
      <c r="H13" s="288"/>
      <c r="I13" s="99" t="s">
        <v>413</v>
      </c>
      <c r="J13" s="149" t="s">
        <v>414</v>
      </c>
      <c r="K13" s="149" t="s">
        <v>412</v>
      </c>
    </row>
    <row r="14" spans="2:11" s="57" customFormat="1" ht="76.900000000000006" customHeight="1" x14ac:dyDescent="0.25">
      <c r="B14" s="150"/>
      <c r="C14" s="151"/>
      <c r="D14" s="151"/>
      <c r="E14" s="151"/>
      <c r="F14" s="151"/>
      <c r="G14" s="151"/>
      <c r="H14" s="152"/>
      <c r="I14" s="99"/>
      <c r="J14" s="149"/>
      <c r="K14" s="149"/>
    </row>
    <row r="15" spans="2:11" s="57" customFormat="1" ht="76.900000000000006" customHeight="1" x14ac:dyDescent="0.25">
      <c r="B15" s="150"/>
      <c r="C15" s="151"/>
      <c r="D15" s="151"/>
      <c r="E15" s="151"/>
      <c r="F15" s="151"/>
      <c r="G15" s="151"/>
      <c r="H15" s="152"/>
      <c r="I15" s="99"/>
      <c r="J15" s="149"/>
      <c r="K15" s="149"/>
    </row>
    <row r="16" spans="2:11" s="57" customFormat="1" ht="36.75" customHeight="1" x14ac:dyDescent="0.25">
      <c r="B16" s="286"/>
      <c r="C16" s="287"/>
      <c r="D16" s="287"/>
      <c r="E16" s="287"/>
      <c r="F16" s="287"/>
      <c r="G16" s="287"/>
      <c r="H16" s="288"/>
      <c r="I16" s="99"/>
      <c r="J16" s="149"/>
      <c r="K16" s="149"/>
    </row>
    <row r="17" spans="2:11" s="57" customFormat="1" ht="36.75" customHeight="1" x14ac:dyDescent="0.25">
      <c r="B17" s="286"/>
      <c r="C17" s="287"/>
      <c r="D17" s="287"/>
      <c r="E17" s="287"/>
      <c r="F17" s="287"/>
      <c r="G17" s="287"/>
      <c r="H17" s="288"/>
      <c r="I17" s="99"/>
      <c r="J17" s="149"/>
      <c r="K17" s="149"/>
    </row>
  </sheetData>
  <mergeCells count="11">
    <mergeCell ref="B13:H13"/>
    <mergeCell ref="B16:H16"/>
    <mergeCell ref="B17:H17"/>
    <mergeCell ref="B7:H7"/>
    <mergeCell ref="B5:H5"/>
    <mergeCell ref="B6:H6"/>
    <mergeCell ref="B11:H11"/>
    <mergeCell ref="B12:H12"/>
    <mergeCell ref="B8:H8"/>
    <mergeCell ref="B9:H9"/>
    <mergeCell ref="B10:H10"/>
  </mergeCells>
  <printOptions horizontalCentered="1"/>
  <pageMargins left="0" right="0" top="0" bottom="0" header="0" footer="0"/>
  <pageSetup paperSize="9" orientation="portrait" r:id="rId1"/>
  <headerFooter alignWithMargins="0">
    <oddHeader xml:space="preserve">&amp;C           </oddHeader>
    <oddFooter>&amp;LEA-EN-WH-P-009-F-01; Rev 7.0; 4.18.2024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6e0716-5cb6-4993-8575-b78a104836d5" xsi:nil="true"/>
    <lcf76f155ced4ddcb4097134ff3c332f xmlns="5a56a358-1bf1-4dbe-956c-6641b47a4e5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6ABE37E721784F8D82ED5E802EC9D6" ma:contentTypeVersion="15" ma:contentTypeDescription="Create a new document." ma:contentTypeScope="" ma:versionID="fe844216818741767035b1b442b184b9">
  <xsd:schema xmlns:xsd="http://www.w3.org/2001/XMLSchema" xmlns:xs="http://www.w3.org/2001/XMLSchema" xmlns:p="http://schemas.microsoft.com/office/2006/metadata/properties" xmlns:ns2="5a56a358-1bf1-4dbe-956c-6641b47a4e58" xmlns:ns3="a34a0344-badb-4596-b11c-fc250b08696e" xmlns:ns4="ac6e0716-5cb6-4993-8575-b78a104836d5" targetNamespace="http://schemas.microsoft.com/office/2006/metadata/properties" ma:root="true" ma:fieldsID="f4ccd6e94a5f4d5f3758347d9e9584fc" ns2:_="" ns3:_="" ns4:_="">
    <xsd:import namespace="5a56a358-1bf1-4dbe-956c-6641b47a4e58"/>
    <xsd:import namespace="a34a0344-badb-4596-b11c-fc250b08696e"/>
    <xsd:import namespace="ac6e0716-5cb6-4993-8575-b78a104836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4: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6a358-1bf1-4dbe-956c-6641b47a4e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2122672-86a6-462b-a985-18c481245a8e"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4a0344-badb-4596-b11c-fc250b0869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6e0716-5cb6-4993-8575-b78a104836d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e58376c-5b6e-4fd7-9319-cc07f4a440c8}" ma:internalName="TaxCatchAll" ma:showField="CatchAllData" ma:web="a34a0344-badb-4596-b11c-fc250b0869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57453A-9BAA-43F5-989D-D71BE2B82021}">
  <ds:schemaRefs>
    <ds:schemaRef ds:uri="http://purl.org/dc/dcmitype/"/>
    <ds:schemaRef ds:uri="http://schemas.microsoft.com/office/infopath/2007/PartnerControls"/>
    <ds:schemaRef ds:uri="http://purl.org/dc/elements/1.1/"/>
    <ds:schemaRef ds:uri="http://schemas.microsoft.com/office/2006/documentManagement/types"/>
    <ds:schemaRef ds:uri="215e8212-db70-47a2-8355-5a5947404194"/>
    <ds:schemaRef ds:uri="8de54250-bf7b-4cf4-b65f-b9ff34b523cc"/>
    <ds:schemaRef ds:uri="http://purl.org/dc/terms/"/>
    <ds:schemaRef ds:uri="http://schemas.openxmlformats.org/package/2006/metadata/core-properties"/>
    <ds:schemaRef ds:uri="ac6e0716-5cb6-4993-8575-b78a104836d5"/>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80E8B7B-C465-4424-9D65-58C608AB0FB7}">
  <ds:schemaRefs>
    <ds:schemaRef ds:uri="http://schemas.microsoft.com/sharepoint/v3/contenttype/forms"/>
  </ds:schemaRefs>
</ds:datastoreItem>
</file>

<file path=customXml/itemProps3.xml><?xml version="1.0" encoding="utf-8"?>
<ds:datastoreItem xmlns:ds="http://schemas.openxmlformats.org/officeDocument/2006/customXml" ds:itemID="{343BCFF2-AE55-4788-8590-229A1241DCE4}"/>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Work Instruction pg.1</vt:lpstr>
      <vt:lpstr>Cover CheckSheet pg.2</vt:lpstr>
      <vt:lpstr>Status Summary pg.3</vt:lpstr>
      <vt:lpstr>CheckSheet 1 Design&amp;Devlp pg.4</vt:lpstr>
      <vt:lpstr>CheckSheet 2 General pg.5</vt:lpstr>
      <vt:lpstr>CheckSheet 3 Layout pg.6</vt:lpstr>
      <vt:lpstr>CheckSheet 4 Coverings&amp;Com pg.7</vt:lpstr>
      <vt:lpstr>CheckSheet 5 Wire pg.8</vt:lpstr>
      <vt:lpstr>CheckSheet 6 Splicing pg.9</vt:lpstr>
      <vt:lpstr>CheckSheet 7 High Voltage pg.10</vt:lpstr>
      <vt:lpstr>CheckSheet 8 Automation pg.11</vt:lpstr>
      <vt:lpstr>Cover CheckSheet Sample pg.12</vt:lpstr>
      <vt:lpstr>CheckSheet Sample pg.13</vt:lpstr>
      <vt:lpstr>CheckSheet Explanation pg.14</vt:lpstr>
      <vt:lpstr>Revision History</vt:lpstr>
      <vt:lpstr>'CheckSheet 1 Design&amp;Devlp pg.4'!Print_Area</vt:lpstr>
      <vt:lpstr>'CheckSheet 2 General pg.5'!Print_Area</vt:lpstr>
      <vt:lpstr>'CheckSheet 3 Layout pg.6'!Print_Area</vt:lpstr>
      <vt:lpstr>'CheckSheet 4 Coverings&amp;Com pg.7'!Print_Area</vt:lpstr>
      <vt:lpstr>'CheckSheet 5 Wire pg.8'!Print_Area</vt:lpstr>
      <vt:lpstr>'CheckSheet 6 Splicing pg.9'!Print_Area</vt:lpstr>
      <vt:lpstr>'CheckSheet 7 High Voltage pg.10'!Print_Area</vt:lpstr>
      <vt:lpstr>'CheckSheet 8 Automation pg.11'!Print_Area</vt:lpstr>
      <vt:lpstr>'CheckSheet Explanation pg.14'!Print_Area</vt:lpstr>
      <vt:lpstr>'CheckSheet Sample pg.13'!Print_Area</vt:lpstr>
      <vt:lpstr>'Cover CheckSheet pg.2'!Print_Area</vt:lpstr>
      <vt:lpstr>'Cover CheckSheet Sample pg.12'!Print_Area</vt:lpstr>
      <vt:lpstr>'Revision History'!Print_Area</vt:lpstr>
      <vt:lpstr>'Work Instruction pg.1'!Print_Area</vt:lpstr>
      <vt:lpstr>tableX</vt:lpstr>
      <vt:lpstr>tableXX</vt:lpstr>
      <vt:lpstr>TABLEZ</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RicardoS</dc:creator>
  <cp:keywords/>
  <dc:description/>
  <cp:lastModifiedBy>Saygi, Mustafa Alperen</cp:lastModifiedBy>
  <cp:lastPrinted>2024-04-22T14:47:18Z</cp:lastPrinted>
  <dcterms:created xsi:type="dcterms:W3CDTF">2015-06-05T18:17:20Z</dcterms:created>
  <dcterms:modified xsi:type="dcterms:W3CDTF">2026-03-13T06:32:00Z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0x010100D46ABE37E721784F8D82ED5E802EC9D6</vt:lpwstr>
  </property>
  <property fmtid="{D5CDD505-2E9C-101B-9397-08002B2CF9AE}" pid="3" name="MediaServiceImageTags">
    <vt:lpwstr/>
  </property>
  <property fmtid="{D5CDD505-2E9C-101B-9397-08002B2CF9AE}" pid="4" name="AT_AUTHOR">
    <vt:lpwstr>Ascensao, Paulo</vt:lpwstr>
  </property>
  <property fmtid="{D5CDD505-2E9C-101B-9397-08002B2CF9AE}" pid="5" name="AT_RESPONSIBLE">
    <vt:lpwstr>Joerg Tillmann</vt:lpwstr>
  </property>
  <property fmtid="{D5CDD505-2E9C-101B-9397-08002B2CF9AE}" pid="6" name="AT_VALID_FROM">
    <vt:filetime>2024-04-30T10:12:34Z</vt:filetime>
  </property>
  <property fmtid="{D5CDD505-2E9C-101B-9397-08002B2CF9AE}" pid="7" name="AT_STATE">
    <vt:lpwstr/>
  </property>
  <property fmtid="{D5CDD505-2E9C-101B-9397-08002B2CF9AE}" pid="8" name="AT_IDENTIFIER">
    <vt:lpwstr>EN</vt:lpwstr>
  </property>
  <property fmtid="{D5CDD505-2E9C-101B-9397-08002B2CF9AE}" pid="9" name="AT_RELEASE">
    <vt:lpwstr/>
  </property>
  <property fmtid="{D5CDD505-2E9C-101B-9397-08002B2CF9AE}" pid="10" name="AT_SCOPE">
    <vt:lpwstr>PP, EOS _ Assessment team, EOS _ QMS Leads Team, BU/SD, EDS, HQ, EN, Plants, Design Center</vt:lpwstr>
  </property>
  <property fmtid="{D5CDD505-2E9C-101B-9397-08002B2CF9AE}" pid="11" name="AT_ACCESS_RESTRICTION">
    <vt:lpwstr/>
  </property>
  <property fmtid="{D5CDD505-2E9C-101B-9397-08002B2CF9AE}" pid="12" name="AT_RESUBMISSION_RESPONSIBLE">
    <vt:lpwstr/>
  </property>
  <property fmtid="{D5CDD505-2E9C-101B-9397-08002B2CF9AE}" pid="13" name="AT_EXAMINER">
    <vt:lpwstr>Ascensao, Paulo</vt:lpwstr>
  </property>
  <property fmtid="{D5CDD505-2E9C-101B-9397-08002B2CF9AE}" pid="14" name="AT_VALID_TO">
    <vt:filetime>2027-04-19T00:59:59Z</vt:filetime>
  </property>
  <property fmtid="{D5CDD505-2E9C-101B-9397-08002B2CF9AE}" pid="15" name="AT_EXAMINER_2">
    <vt:lpwstr>Joerg Tillmann</vt:lpwstr>
  </property>
  <property fmtid="{D5CDD505-2E9C-101B-9397-08002B2CF9AE}" pid="16" name="AT_EXAMINER_3">
    <vt:lpwstr>Ascensao, Paulo</vt:lpwstr>
  </property>
  <property fmtid="{D5CDD505-2E9C-101B-9397-08002B2CF9AE}" pid="17" name="AT_PUBLISH_AS_PDF">
    <vt:lpwstr/>
  </property>
</Properties>
</file>